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orenzo"/>
  <workbookPr/>
  <bookViews>
    <workbookView activeTab="2" xWindow="240" yWindow="60" windowWidth="29040" windowHeight="15720" tabRatio="500"/>
  </bookViews>
  <sheets>
    <sheet name="wkb" sheetId="1" r:id="rId4"/>
    <sheet name="small" sheetId="2" r:id="rId5"/>
    <sheet name="bi-directional" sheetId="3" r:id="rId6"/>
  </sheets>
  <calcPr/>
  <extLst>
    <ext uri="smNativeData">
      <pm:revision xmlns:pm="smNativeData" day="1770903363" val="982" rev="124" revOS="4" revMin="124" revMax="0"/>
      <pm:docPrefs xmlns:pm="smNativeData" id="1770903363" fixedDigits="0" showNotice="1" showFrameBounds="1" autoChart="1" recalcOnPrint="1" recalcOnCopy="1" finalRounding="1" compatTextArt="1" tab="567" useDefinedPrintRange="1" printArea="currentSheet"/>
      <pm:compatibility xmlns:pm="smNativeData" id="1770903363" overlapCells="1"/>
      <pm:defCurrency xmlns:pm="smNativeData" id="1770903363"/>
    </ext>
  </extLst>
</workbook>
</file>

<file path=xl/sharedStrings.xml><?xml version="1.0" encoding="utf-8"?>
<sst xmlns="http://schemas.openxmlformats.org/spreadsheetml/2006/main" count="88" uniqueCount="43">
  <si>
    <t>i</t>
  </si>
  <si>
    <t>x</t>
  </si>
  <si>
    <t>V(x)</t>
  </si>
  <si>
    <t>V'(x)</t>
  </si>
  <si>
    <t>Q(x)</t>
  </si>
  <si>
    <t>sqrt(-Q(x))</t>
  </si>
  <si>
    <t>| d lambda/dx |</t>
  </si>
  <si>
    <t>psi</t>
  </si>
  <si>
    <t>(psi)^2</t>
  </si>
  <si>
    <t>[Q(x)*psi(x)]^2</t>
  </si>
  <si>
    <t>h=</t>
  </si>
  <si>
    <t>=k(x)</t>
  </si>
  <si>
    <t>three-points</t>
  </si>
  <si>
    <t>WKB</t>
  </si>
  <si>
    <t>m=</t>
  </si>
  <si>
    <t>exact ratio=</t>
  </si>
  <si>
    <t>E=</t>
  </si>
  <si>
    <t>exact=</t>
  </si>
  <si>
    <t>Start at -5, V(x)=25</t>
  </si>
  <si>
    <t>exact-E=</t>
  </si>
  <si>
    <t>three-point</t>
  </si>
  <si>
    <t>h</t>
  </si>
  <si>
    <t>psi(-4.8)</t>
  </si>
  <si>
    <t>psi(-4.7)</t>
  </si>
  <si>
    <t>ratio</t>
  </si>
  <si>
    <t>int=</t>
  </si>
  <si>
    <t>corr=</t>
  </si>
  <si>
    <t>Start at -7, V(x)=49</t>
  </si>
  <si>
    <t>Start at -10, V(x)=100</t>
  </si>
  <si>
    <t>[Q(x)*psi_norm(x)]^2</t>
  </si>
  <si>
    <t>my program:</t>
  </si>
  <si>
    <t>energy=</t>
  </si>
  <si>
    <t>diff=</t>
  </si>
  <si>
    <t>classically</t>
  </si>
  <si>
    <t>forbidden?</t>
  </si>
  <si>
    <t>diff 2p</t>
  </si>
  <si>
    <t>diff 4p</t>
  </si>
  <si>
    <t>renorm</t>
  </si>
  <si>
    <t>1st der</t>
  </si>
  <si>
    <t>der2</t>
  </si>
  <si>
    <t>2 points</t>
  </si>
  <si>
    <t>4 points</t>
  </si>
  <si>
    <t>3 points</t>
  </si>
</sst>
</file>

<file path=xl/styles.xml><?xml version="1.0" encoding="utf-8"?>
<styleSheet xmlns="http://schemas.openxmlformats.org/spreadsheetml/2006/main">
  <numFmts count="1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  <numFmt numFmtId="164" formatCode="0.000000"/>
    <numFmt numFmtId="165" formatCode="0.0000000"/>
    <numFmt numFmtId="166" formatCode="0.000"/>
    <numFmt numFmtId="2" formatCode="0.00"/>
    <numFmt numFmtId="10" formatCode="0.00%"/>
    <numFmt numFmtId="167" formatCode="0.00000"/>
    <numFmt numFmtId="1" formatCode="0"/>
    <numFmt numFmtId="11" formatCode="0.00E+00"/>
    <numFmt numFmtId="168" formatCode="0.0000"/>
    <numFmt numFmtId="169" formatCode="0.000000000"/>
  </numFmts>
  <fonts count="5">
    <font>
      <name val="Calibri"/>
      <family val="2"/>
      <color rgb="FF000000"/>
      <sz val="11"/>
      <extLst>
        <ext uri="smNativeData">
          <pm:charSpec xmlns:pm="smNativeData" id="1770903363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090336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70903363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FF0000"/>
      <sz val="11"/>
      <extLst>
        <ext uri="smNativeData">
          <pm:charSpec xmlns:pm="smNativeData" id="1770903363" fgClr="FF0000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70903363" ulstyle="none" kern="1">
            <pm:latin face="Calibri" sz="220" lang="default" weight="bold"/>
            <pm:cs face="Times New Roman" sz="220" lang="default"/>
            <pm:ea face="SimSun" sz="22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FFF9E"/>
        <bgColor rgb="FFFFFFFF"/>
        <extLst>
          <ext uri="smNativeData">
            <pm:shade xmlns:pm="smNativeData" id="1770903363" type="1" fgLvl="38" fgClr="00FFFF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0903363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90336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90336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90336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2" borderId="1" xfId="0" applyFill="1"/>
    <xf numFmtId="167" fontId="0" fillId="2" borderId="1" xfId="0" applyNumberFormat="1" applyFill="1"/>
    <xf numFmtId="11" fontId="0" fillId="0" borderId="0" xfId="0" applyNumberFormat="1"/>
    <xf numFmtId="0" fontId="4" fillId="0" borderId="0" xfId="0" applyFont="1"/>
    <xf numFmtId="1" fontId="0" fillId="0" borderId="0" xfId="0" applyNumberFormat="1"/>
    <xf numFmtId="11" fontId="3" fillId="0" borderId="0" xfId="0" applyNumberFormat="1" applyFont="1"/>
    <xf numFmtId="168" fontId="0" fillId="0" borderId="0" xfId="0" applyNumberFormat="1"/>
    <xf numFmtId="167" fontId="0" fillId="0" borderId="0" xfId="0" applyNumberFormat="1"/>
    <xf numFmtId="167" fontId="4" fillId="0" borderId="0" xfId="0" applyNumberFormat="1" applyFont="1"/>
    <xf numFmtId="11" fontId="0" fillId="2" borderId="1" xfId="0" applyNumberFormat="1" applyFill="1"/>
    <xf numFmtId="11" fontId="4" fillId="2" borderId="1" xfId="0" applyNumberFormat="1" applyFont="1" applyFill="1"/>
    <xf numFmtId="0" fontId="0" fillId="0" borderId="0" xfId="0" applyAlignment="1">
      <alignment horizontal="center"/>
    </xf>
    <xf numFmtId="11" fontId="0" fillId="0" borderId="0" xfId="0" applyNumberFormat="1"/>
    <xf numFmtId="169" fontId="0" fillId="2" borderId="1" xfId="0" applyNumberFormat="1" applyFill="1"/>
    <xf numFmtId="0" fontId="2" fillId="0" borderId="0" xfId="0" applyFont="1" applyAlignment="1" quotePrefix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70903363" count="1">
        <pm:charStyle name="Normal" fontId="0" Id="1"/>
      </pm:charStyles>
      <pm:colors xmlns:pm="smNativeData" id="1770903363" count="1">
        <pm:color name="Colour 24" rgb="FFFF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9525">
              <a:noFill/>
            </a:ln>
          </c:spPr>
          <c:yVal>
            <c:numRef>
              <c:f>wkb!$H$4:$H$224</c:f>
              <c:numCache>
                <c:formatCode>General</c:formatCode>
                <c:ptCount val="221"/>
                <c:pt idx="0">
                  <c:v>0</c:v>
                </c:pt>
                <c:pt idx="1">
                  <c:v>0.000001</c:v>
                </c:pt>
                <c:pt idx="2">
                  <c:v>0.000002</c:v>
                </c:pt>
                <c:pt idx="3">
                  <c:v>0.000005</c:v>
                </c:pt>
                <c:pt idx="4">
                  <c:v>0.000009</c:v>
                </c:pt>
                <c:pt idx="5">
                  <c:v>0.000016</c:v>
                </c:pt>
                <c:pt idx="6">
                  <c:v>0.000030</c:v>
                </c:pt>
                <c:pt idx="7">
                  <c:v>0.000053</c:v>
                </c:pt>
                <c:pt idx="8">
                  <c:v>0.000092</c:v>
                </c:pt>
                <c:pt idx="9">
                  <c:v>0.000158</c:v>
                </c:pt>
                <c:pt idx="10">
                  <c:v>0.000268</c:v>
                </c:pt>
                <c:pt idx="11">
                  <c:v>0.000448</c:v>
                </c:pt>
                <c:pt idx="12">
                  <c:v>0.000739</c:v>
                </c:pt>
                <c:pt idx="13">
                  <c:v>0.001200</c:v>
                </c:pt>
                <c:pt idx="14">
                  <c:v>0.001922</c:v>
                </c:pt>
                <c:pt idx="15">
                  <c:v>0.003034</c:v>
                </c:pt>
                <c:pt idx="16">
                  <c:v>0.004718</c:v>
                </c:pt>
                <c:pt idx="17">
                  <c:v>0.007230</c:v>
                </c:pt>
                <c:pt idx="18">
                  <c:v>0.010916</c:v>
                </c:pt>
                <c:pt idx="19">
                  <c:v>0.016238</c:v>
                </c:pt>
                <c:pt idx="20">
                  <c:v>0.023795</c:v>
                </c:pt>
                <c:pt idx="21">
                  <c:v>0.034346</c:v>
                </c:pt>
                <c:pt idx="22">
                  <c:v>0.048827</c:v>
                </c:pt>
                <c:pt idx="23">
                  <c:v>0.068359</c:v>
                </c:pt>
                <c:pt idx="24">
                  <c:v>0.094238</c:v>
                </c:pt>
                <c:pt idx="25">
                  <c:v>0.127903</c:v>
                </c:pt>
                <c:pt idx="26">
                  <c:v>0.170885</c:v>
                </c:pt>
                <c:pt idx="27">
                  <c:v>0.224707</c:v>
                </c:pt>
                <c:pt idx="28">
                  <c:v>0.290761</c:v>
                </c:pt>
                <c:pt idx="29">
                  <c:v>0.370143</c:v>
                </c:pt>
                <c:pt idx="30">
                  <c:v>0.463455</c:v>
                </c:pt>
                <c:pt idx="31">
                  <c:v>0.570595</c:v>
                </c:pt>
                <c:pt idx="32">
                  <c:v>0.690537</c:v>
                </c:pt>
                <c:pt idx="33">
                  <c:v>0.821138</c:v>
                </c:pt>
                <c:pt idx="34">
                  <c:v>0.958995</c:v>
                </c:pt>
                <c:pt idx="35">
                  <c:v>1.099380</c:v>
                </c:pt>
                <c:pt idx="36">
                  <c:v>1.236287</c:v>
                </c:pt>
                <c:pt idx="37">
                  <c:v>1.362606</c:v>
                </c:pt>
                <c:pt idx="38">
                  <c:v>1.470444</c:v>
                </c:pt>
                <c:pt idx="39">
                  <c:v>1.551572</c:v>
                </c:pt>
                <c:pt idx="40">
                  <c:v>1.598002</c:v>
                </c:pt>
                <c:pt idx="41">
                  <c:v>1.602622</c:v>
                </c:pt>
                <c:pt idx="42">
                  <c:v>1.559862</c:v>
                </c:pt>
                <c:pt idx="43">
                  <c:v>1.466307</c:v>
                </c:pt>
                <c:pt idx="44">
                  <c:v>1.321191</c:v>
                </c:pt>
                <c:pt idx="45">
                  <c:v>1.126710</c:v>
                </c:pt>
                <c:pt idx="46">
                  <c:v>0.888103</c:v>
                </c:pt>
                <c:pt idx="47">
                  <c:v>0.613472</c:v>
                </c:pt>
                <c:pt idx="48">
                  <c:v>0.313342</c:v>
                </c:pt>
                <c:pt idx="49">
                  <c:v>0.000000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valAx>
        <c:axId val="10"/>
        <c:scaling>
          <c:orientation val="minMax"/>
          <c:max val="100.000000"/>
        </c:scaling>
        <c:delete val="0"/>
        <c:axPos val="b"/>
        <c:numFmt formatCode="General" sourceLinked="1"/>
        <c:majorTickMark val="cross"/>
        <c:minorTickMark val="none"/>
        <c:tickLblPos val="nextTo"/>
        <c:crossAx val="11"/>
        <c:crosses val="autoZero"/>
      </c:valAx>
      <c:valAx>
        <c:axId val="11"/>
        <c:scaling>
          <c:orientation val="minMax"/>
          <c:max val="2.000000"/>
          <c:min val="-2.000000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</c:valAx>
    </c:plotArea>
    <c:plotVisOnly val="1"/>
    <c:dispBlanksAs val="gap"/>
  </c:chart>
  <c:spPr/>
  <c:txPr>
    <a:bodyPr anchor="ctr" anchorCtr="1" rot="0"/>
    <a:lstStyle/>
    <a:p>
      <a:pPr>
        <a:defRPr lang="en-gb" sz="2265" b="0" i="0" u="none" strike="noStrike" kern="100">
          <a:solidFill>
            <a:srgbClr val="000000"/>
          </a:solidFill>
          <a:latin typeface="Arial" charset="0"/>
        </a:defRPr>
      </a:pPr>
    </a:p>
  </c:txPr>
  <c:extLst>
    <c:ext xmlns:sm="smo" uri="smo">
      <sm:colorScheme xmlns:sm="smo" id="1770903363" val="7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9525">
              <a:noFill/>
            </a:ln>
          </c:spPr>
          <c:yVal>
            <c:numRef>
              <c:f>'bi-directional'!$E$5:$E$85</c:f>
              <c:numCache>
                <c:formatCode>0.00E+00</c:formatCode>
                <c:ptCount val="81"/>
                <c:pt idx="0">
                  <c:v>0</c:v>
                </c:pt>
                <c:pt idx="1">
                  <c:v>0.000001</c:v>
                </c:pt>
                <c:pt idx="2">
                  <c:v>0.000002</c:v>
                </c:pt>
                <c:pt idx="3">
                  <c:v>0.000004</c:v>
                </c:pt>
                <c:pt idx="4">
                  <c:v>0.000007</c:v>
                </c:pt>
                <c:pt idx="5">
                  <c:v>0.000011</c:v>
                </c:pt>
                <c:pt idx="6">
                  <c:v>0.000018</c:v>
                </c:pt>
                <c:pt idx="7">
                  <c:v>0.000027</c:v>
                </c:pt>
                <c:pt idx="8">
                  <c:v>0.000042</c:v>
                </c:pt>
                <c:pt idx="9">
                  <c:v>0.000063</c:v>
                </c:pt>
                <c:pt idx="10">
                  <c:v>0.000094</c:v>
                </c:pt>
                <c:pt idx="11">
                  <c:v>0.000138</c:v>
                </c:pt>
                <c:pt idx="12">
                  <c:v>0.000200</c:v>
                </c:pt>
                <c:pt idx="13">
                  <c:v>0.000284</c:v>
                </c:pt>
                <c:pt idx="14">
                  <c:v>0.000398</c:v>
                </c:pt>
                <c:pt idx="15">
                  <c:v>0.000548</c:v>
                </c:pt>
                <c:pt idx="16">
                  <c:v>0.000744</c:v>
                </c:pt>
                <c:pt idx="17">
                  <c:v>0.000994</c:v>
                </c:pt>
                <c:pt idx="18">
                  <c:v>0.001307</c:v>
                </c:pt>
                <c:pt idx="19">
                  <c:v>0.001691</c:v>
                </c:pt>
                <c:pt idx="20">
                  <c:v>0.002153</c:v>
                </c:pt>
                <c:pt idx="21">
                  <c:v>0.002696</c:v>
                </c:pt>
                <c:pt idx="22">
                  <c:v>0.003319</c:v>
                </c:pt>
                <c:pt idx="23">
                  <c:v>0.004017</c:v>
                </c:pt>
                <c:pt idx="24">
                  <c:v>0.004777</c:v>
                </c:pt>
                <c:pt idx="25">
                  <c:v>0.005579</c:v>
                </c:pt>
                <c:pt idx="26">
                  <c:v>0.006395</c:v>
                </c:pt>
                <c:pt idx="27">
                  <c:v>0.007192</c:v>
                </c:pt>
                <c:pt idx="28">
                  <c:v>0.007927</c:v>
                </c:pt>
                <c:pt idx="29">
                  <c:v>0.008554</c:v>
                </c:pt>
                <c:pt idx="30">
                  <c:v>0.009026</c:v>
                </c:pt>
                <c:pt idx="31">
                  <c:v>0.009296</c:v>
                </c:pt>
                <c:pt idx="32">
                  <c:v>0.009323</c:v>
                </c:pt>
                <c:pt idx="33">
                  <c:v>0.009074</c:v>
                </c:pt>
                <c:pt idx="34">
                  <c:v>0.008530</c:v>
                </c:pt>
                <c:pt idx="35">
                  <c:v>0.007686</c:v>
                </c:pt>
                <c:pt idx="36">
                  <c:v>0.006554</c:v>
                </c:pt>
                <c:pt idx="37">
                  <c:v>0.005166</c:v>
                </c:pt>
                <c:pt idx="38">
                  <c:v>0.003569</c:v>
                </c:pt>
                <c:pt idx="39">
                  <c:v>0.001823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0.000000</c:v>
                </c:pt>
              </c:numCache>
            </c:numRef>
          </c:y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yVal>
            <c:numRef>
              <c:f>'bi-directional'!$F$5:$F$85</c:f>
              <c:numCache>
                <c:formatCode>0.00E+00</c:formatCode>
                <c:ptCount val="81"/>
                <c:pt idx="0">
                  <c:v>0</c:v>
                </c:pt>
                <c:pt idx="1">
                  <c:v>0.000001</c:v>
                </c:pt>
                <c:pt idx="2">
                  <c:v>0.000002</c:v>
                </c:pt>
                <c:pt idx="3">
                  <c:v>0.000004</c:v>
                </c:pt>
                <c:pt idx="4">
                  <c:v>0.000007</c:v>
                </c:pt>
                <c:pt idx="5">
                  <c:v>0.000011</c:v>
                </c:pt>
                <c:pt idx="6">
                  <c:v>0.000018</c:v>
                </c:pt>
                <c:pt idx="7">
                  <c:v>0.000027</c:v>
                </c:pt>
                <c:pt idx="8">
                  <c:v>0.000042</c:v>
                </c:pt>
                <c:pt idx="9">
                  <c:v>0.000063</c:v>
                </c:pt>
                <c:pt idx="10">
                  <c:v>0.000094</c:v>
                </c:pt>
                <c:pt idx="11">
                  <c:v>0.000138</c:v>
                </c:pt>
                <c:pt idx="12">
                  <c:v>0.000200</c:v>
                </c:pt>
                <c:pt idx="13">
                  <c:v>0.000284</c:v>
                </c:pt>
                <c:pt idx="14">
                  <c:v>0.000398</c:v>
                </c:pt>
                <c:pt idx="15">
                  <c:v>0.000548</c:v>
                </c:pt>
                <c:pt idx="16">
                  <c:v>0.000744</c:v>
                </c:pt>
                <c:pt idx="17">
                  <c:v>0.000994</c:v>
                </c:pt>
                <c:pt idx="18">
                  <c:v>0.001307</c:v>
                </c:pt>
                <c:pt idx="19">
                  <c:v>0.001691</c:v>
                </c:pt>
                <c:pt idx="20">
                  <c:v>0.002153</c:v>
                </c:pt>
                <c:pt idx="21">
                  <c:v>0.002696</c:v>
                </c:pt>
                <c:pt idx="22">
                  <c:v>0.003319</c:v>
                </c:pt>
                <c:pt idx="23">
                  <c:v>0.004017</c:v>
                </c:pt>
                <c:pt idx="24">
                  <c:v>0.004777</c:v>
                </c:pt>
                <c:pt idx="25">
                  <c:v>0.005579</c:v>
                </c:pt>
                <c:pt idx="26">
                  <c:v>0.006395</c:v>
                </c:pt>
                <c:pt idx="27">
                  <c:v>0.007192</c:v>
                </c:pt>
                <c:pt idx="28">
                  <c:v>0.007927</c:v>
                </c:pt>
                <c:pt idx="29">
                  <c:v>0.008554</c:v>
                </c:pt>
                <c:pt idx="30">
                  <c:v>0.009026</c:v>
                </c:pt>
                <c:pt idx="31">
                  <c:v>0.009296</c:v>
                </c:pt>
                <c:pt idx="32">
                  <c:v>0.009323</c:v>
                </c:pt>
                <c:pt idx="33">
                  <c:v>0.009074</c:v>
                </c:pt>
                <c:pt idx="34">
                  <c:v>0.008530</c:v>
                </c:pt>
                <c:pt idx="35">
                  <c:v>0.007686</c:v>
                </c:pt>
                <c:pt idx="36">
                  <c:v>0.006554</c:v>
                </c:pt>
                <c:pt idx="37">
                  <c:v>0.005166</c:v>
                </c:pt>
                <c:pt idx="38">
                  <c:v>0.003569</c:v>
                </c:pt>
                <c:pt idx="39">
                  <c:v>0.001823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y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lang="en-gb" sz="80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11"/>
        <c:crosses val="autoZero"/>
      </c:valAx>
      <c:valAx>
        <c:axId val="1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lang="en-gb" sz="80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10"/>
        <c:crosses val="autoZero"/>
      </c:valAx>
    </c:plotArea>
    <c:plotVisOnly val="1"/>
    <c:dispBlanksAs val="gap"/>
  </c:chart>
  <c:spPr/>
  <c:txPr>
    <a:bodyPr anchor="ctr" anchorCtr="1" rot="0"/>
    <a:lstStyle/>
    <a:p>
      <a:pPr>
        <a:defRPr lang="en-gb" sz="225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0903363" val="7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lineChart>
        <c:grouping val="standard"/>
        <c:ser>
          <c:idx val="0"/>
          <c:order val="0"/>
          <c:val>
            <c:numRef>
              <c:f>'bi-directional'!$H$57:$H$63</c:f>
              <c:numCache>
                <c:formatCode>General</c:formatCode>
                <c:ptCount val="7"/>
                <c:pt idx="0">
                  <c:v>1.420869</c:v>
                </c:pt>
                <c:pt idx="1">
                  <c:v>1.289148</c:v>
                </c:pt>
                <c:pt idx="2">
                  <c:v>1.146388</c:v>
                </c:pt>
                <c:pt idx="3">
                  <c:v>1</c:v>
                </c:pt>
                <c:pt idx="4">
                  <c:v>0.856248</c:v>
                </c:pt>
                <c:pt idx="5">
                  <c:v>0.720063</c:v>
                </c:pt>
                <c:pt idx="6">
                  <c:v>0.594992</c:v>
                </c:pt>
              </c:numCache>
            </c:numRef>
          </c: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val>
            <c:numRef>
              <c:f>'bi-directional'!$I$57:$I$63</c:f>
              <c:numCache>
                <c:formatCode>General</c:formatCode>
                <c:ptCount val="7"/>
                <c:pt idx="0">
                  <c:v>1.420869</c:v>
                </c:pt>
                <c:pt idx="1">
                  <c:v>1.289148</c:v>
                </c:pt>
                <c:pt idx="2">
                  <c:v>1.146388</c:v>
                </c:pt>
                <c:pt idx="3">
                  <c:v>1</c:v>
                </c:pt>
                <c:pt idx="4">
                  <c:v>0.856248</c:v>
                </c:pt>
                <c:pt idx="5">
                  <c:v>0.720063</c:v>
                </c:pt>
                <c:pt idx="6">
                  <c:v>0.594992</c:v>
                </c:pt>
              </c:numCache>
            </c:numRef>
          </c: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extLst>
          <c:ext xmlns:sm="smo" uri="smo">
            <sm:boxPlot xmlns:sm="smo" val="0"/>
            <sm:turned xmlns:sm="smo" val="0"/>
          </c:ext>
        </c:extLst>
        <c:axId val="10"/>
        <c:axId val="11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  <c:spPr/>
  <c:txPr>
    <a:bodyPr anchor="ctr" anchorCtr="1" rot="0"/>
    <a:lstStyle/>
    <a:p>
      <a:pPr>
        <a:defRPr lang="en-gb" sz="210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0903363" val="7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467360</xdr:colOff>
      <xdr:row>7</xdr:row>
      <xdr:rowOff>107950</xdr:rowOff>
    </xdr:from>
    <xdr:to>
      <xdr:col>8</xdr:col>
      <xdr:colOff>1252855</xdr:colOff>
      <xdr:row>29</xdr:row>
      <xdr:rowOff>46355</xdr:rowOff>
    </xdr:to>
    <xdr:graphicFrame macro="">
      <xdr:nvGraphicFramePr>
        <xdr:cNvPr id="2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173355</xdr:colOff>
      <xdr:row>3</xdr:row>
      <xdr:rowOff>158115</xdr:rowOff>
    </xdr:from>
    <xdr:to>
      <xdr:col>22</xdr:col>
      <xdr:colOff>246380</xdr:colOff>
      <xdr:row>29</xdr:row>
      <xdr:rowOff>32385</xdr:rowOff>
    </xdr:to>
    <xdr:graphicFrame macro="">
      <xdr:nvGraphicFramePr>
        <xdr:cNvPr id="3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579120</xdr:colOff>
      <xdr:row>43</xdr:row>
      <xdr:rowOff>129540</xdr:rowOff>
    </xdr:from>
    <xdr:to>
      <xdr:col>27</xdr:col>
      <xdr:colOff>316230</xdr:colOff>
      <xdr:row>66</xdr:row>
      <xdr:rowOff>169545</xdr:rowOff>
    </xdr:to>
    <xdr:graphicFrame macro="">
      <xdr:nvGraphicFramePr>
        <xdr:cNvPr id="2" name="Chart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4"/>
  <sheetViews>
    <sheetView view="normal" zoomScale="120" workbookViewId="0">
      <selection activeCell="A3" sqref="A3"/>
    </sheetView>
  </sheetViews>
  <sheetFormatPr defaultRowHeight="15.40"/>
  <cols>
    <col min="5" max="5" width="11.687500" customWidth="1"/>
    <col min="6" max="6" width="11.857143" customWidth="1"/>
    <col min="7" max="7" width="18.857143" customWidth="1"/>
    <col min="8" max="8" width="16.392857" customWidth="1"/>
    <col min="9" max="9" width="17.857143" customWidth="1"/>
    <col min="10" max="10" width="13.392857" customWidth="1"/>
    <col min="11" max="12" width="17.857143" customWidth="1"/>
    <col min="14" max="14" width="11.241071" customWidth="1"/>
    <col min="16" max="16" width="15.142857" customWidth="1"/>
    <col min="17" max="17" width="16.285714" customWidth="1"/>
    <col min="18" max="18" width="16.000000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  <c r="J1" s="2" t="s">
        <v>8</v>
      </c>
      <c r="K1" s="2" t="s">
        <v>9</v>
      </c>
      <c r="L1" s="2"/>
      <c r="M1" t="s">
        <v>10</v>
      </c>
      <c r="N1" t="n">
        <v>0.1</v>
      </c>
    </row>
    <row r="2" spans="1:19">
      <c r="A2" s="2"/>
      <c r="B2" s="2"/>
      <c r="C2" s="2"/>
      <c r="D2" s="2"/>
      <c r="E2" s="2"/>
      <c r="F2" s="24" t="s">
        <v>11</v>
      </c>
      <c r="G2" s="2"/>
      <c r="H2" s="2" t="s">
        <v>12</v>
      </c>
      <c r="I2" s="2" t="s">
        <v>13</v>
      </c>
      <c r="J2" s="2">
        <f>SUM(J4:J500)*$N1</f>
        <v>5.21874691351430986</v>
      </c>
      <c r="K2" s="2"/>
      <c r="L2" s="2"/>
      <c r="M2" t="s">
        <v>14</v>
      </c>
      <c r="N2" t="n">
        <v>1</v>
      </c>
      <c r="R2" t="s">
        <v>15</v>
      </c>
      <c r="S2" s="8" t="n">
        <v>1.91687800000000017</v>
      </c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S3" s="8"/>
    </row>
    <row r="4" spans="1:14">
      <c r="A4" t="n">
        <v>0</v>
      </c>
      <c r="B4">
        <f>-5</f>
        <v>-5</v>
      </c>
      <c r="C4">
        <f>B4*B4</f>
        <v>25</v>
      </c>
      <c r="D4">
        <f>2*B4</f>
        <v>-10</v>
      </c>
      <c r="E4">
        <f>2*N$2*(N$4-C4)</f>
        <v>-45.7636193007897987</v>
      </c>
      <c r="F4">
        <f>SQRT(-E4)</f>
        <v>6.76488132200335013</v>
      </c>
      <c r="G4" s="4">
        <f>ABS($N$2*D4/(-E4)^1.5)</f>
        <v>0.0323012592776540064</v>
      </c>
      <c r="H4" s="5" t="n">
        <v>0</v>
      </c>
      <c r="I4" s="5" t="n">
        <v>0</v>
      </c>
      <c r="J4">
        <f>H4^2</f>
        <v>0</v>
      </c>
      <c r="K4">
        <f>(E4*H4/SQRT(J$2))^2</f>
        <v>0</v>
      </c>
      <c r="L4" s="5"/>
      <c r="M4" t="s">
        <v>16</v>
      </c>
      <c r="N4" t="n">
        <v>2.11819034960510022</v>
      </c>
    </row>
    <row r="5" spans="1:16">
      <c r="A5">
        <f>A4+1</f>
        <v>1</v>
      </c>
      <c r="B5">
        <f>B$4+A5*N$1</f>
        <v>-4.90000000000000036</v>
      </c>
      <c r="C5">
        <f>B5*B5</f>
        <v>24.0100000000000016</v>
      </c>
      <c r="D5">
        <f>2*B5</f>
        <v>-9.80000000000000071</v>
      </c>
      <c r="E5">
        <f>2*N$2*(N$4-C5)</f>
        <v>-43.7836193007898018</v>
      </c>
      <c r="F5">
        <f>SQRT(-E5)</f>
        <v>6.61691916988486994</v>
      </c>
      <c r="G5" s="4">
        <f>ABS($N$2*D5/(-E5)^1.5)</f>
        <v>0.0338266186429310078</v>
      </c>
      <c r="H5" s="5">
        <f>1E-06</f>
        <v>9.999999999999999547E-07</v>
      </c>
      <c r="I5" s="5">
        <f>1E-06</f>
        <v>9.999999999999999547E-07</v>
      </c>
      <c r="J5">
        <f>H5^2</f>
        <v>9.999999999999999799E-13</v>
      </c>
      <c r="K5">
        <f>(E5*H5/SQRT(J$2))^2</f>
        <v>3.673305778016944831E-10</v>
      </c>
      <c r="L5" s="5"/>
      <c r="M5" t="s">
        <v>17</v>
      </c>
      <c r="N5">
        <f>SQRT(4.5)</f>
        <v>2.12132034355964016</v>
      </c>
      <c r="P5" s="1" t="s">
        <v>18</v>
      </c>
    </row>
    <row r="6" spans="1:16">
      <c r="A6">
        <f>A5+1</f>
        <v>2</v>
      </c>
      <c r="B6">
        <f>B$4+A6*N$1</f>
        <v>-4.79999999999999982</v>
      </c>
      <c r="C6">
        <f>B6*B6</f>
        <v>23.0399999999999991</v>
      </c>
      <c r="D6">
        <f>2*B6</f>
        <v>-9.59999999999999964</v>
      </c>
      <c r="E6">
        <f>2*N$2*(N$4-C6)</f>
        <v>-41.843619300789797</v>
      </c>
      <c r="F6">
        <f>SQRT(-E6)</f>
        <v>6.46866441398761971</v>
      </c>
      <c r="G6" s="4">
        <f>ABS($N$2*D6/(-E6)^1.5)</f>
        <v>0.0354672380444419932</v>
      </c>
      <c r="H6">
        <f>H5*(2-N$1^2*E6)-H4</f>
        <v>2.418436193007900173E-06</v>
      </c>
      <c r="I6">
        <f>I5*(F5/F6)^0.25*EXP(0.5*N$1*(F6+F5))</f>
        <v>1.934684442031008159E-06</v>
      </c>
      <c r="J6">
        <f>H6^2</f>
        <v>5.848833619650544523E-12</v>
      </c>
      <c r="K6">
        <f>(E6*H6/SQRT(J$2))^2</f>
        <v>1.962282431636804978E-09</v>
      </c>
      <c r="M6" t="s">
        <v>19</v>
      </c>
      <c r="N6">
        <f>N5-N4</f>
        <v>0.00312999395454000018</v>
      </c>
      <c r="P6" t="s">
        <v>20</v>
      </c>
    </row>
    <row r="7" spans="1:18">
      <c r="A7">
        <f>A6+1</f>
        <v>3</v>
      </c>
      <c r="B7">
        <f>B$4+A7*N$1</f>
        <v>-4.70000000000000018</v>
      </c>
      <c r="C7">
        <f>B7*B7</f>
        <v>22.0899999999999999</v>
      </c>
      <c r="D7">
        <f>2*B7</f>
        <v>-9.40000000000000036</v>
      </c>
      <c r="E7">
        <f>2*N$2*(N$4-C7)</f>
        <v>-39.9436193007897984</v>
      </c>
      <c r="F7">
        <f>SQRT(-E7)</f>
        <v>6.32009646293392002</v>
      </c>
      <c r="G7" s="4">
        <f>ABS($N$2*D7/(-E7)^1.5)</f>
        <v>0.037235460808363996</v>
      </c>
      <c r="H7">
        <f>H6*(2-N$1^2*E7)-H5</f>
        <v>4.802883331983395078E-06</v>
      </c>
      <c r="I7">
        <f>I6*(F6/F7)^0.25*EXP(0.5*N$1*(F7+F6))</f>
        <v>3.688393786614238043E-06</v>
      </c>
      <c r="J7">
        <f>H7^2</f>
        <v>2.306768830064391897E-11</v>
      </c>
      <c r="K7">
        <f>(E7*H7/SQRT(J$2))^2</f>
        <v>7.052330650729292458E-09</v>
      </c>
      <c r="O7" t="s">
        <v>21</v>
      </c>
      <c r="P7" s="3" t="s">
        <v>22</v>
      </c>
      <c r="Q7" s="3" t="s">
        <v>23</v>
      </c>
      <c r="R7" t="s">
        <v>24</v>
      </c>
    </row>
    <row r="8" spans="1:21">
      <c r="A8">
        <f>A7+1</f>
        <v>4</v>
      </c>
      <c r="B8">
        <f>B$4+A8*N$1</f>
        <v>-4.59999999999999964</v>
      </c>
      <c r="C8">
        <f>B8*B8</f>
        <v>21.1600000000000001</v>
      </c>
      <c r="D8">
        <f>2*B8</f>
        <v>-9.19999999999999929</v>
      </c>
      <c r="E8">
        <f>2*N$2*(N$4-C8)</f>
        <v>-38.083619300789799</v>
      </c>
      <c r="F8">
        <f>SQRT(-E8)</f>
        <v>6.17119269677992044</v>
      </c>
      <c r="G8" s="4">
        <f>ABS($N$2*D8/(-E8)^1.5)</f>
        <v>0.0391453792218350038</v>
      </c>
      <c r="H8">
        <f>H7*(2-N$1^2*E8)-H6</f>
        <v>9.016442274992099635E-06</v>
      </c>
      <c r="I8">
        <f>I7*(F7/F8)^0.25*EXP(0.5*N$1*(F8+F7))</f>
        <v>6.929004275051989622E-06</v>
      </c>
      <c r="J8">
        <f>H8^2</f>
        <v>8.129623129826469016E-11</v>
      </c>
      <c r="K8">
        <f>(E8*H8/SQRT(J$2))^2</f>
        <v>2.259334881961529243E-08</v>
      </c>
      <c r="O8" t="n">
        <v>0.1</v>
      </c>
      <c r="P8" s="6" t="n">
        <v>2.418436193007897632E-06</v>
      </c>
      <c r="Q8" s="6" t="n">
        <v>4.802883331983384914E-06</v>
      </c>
      <c r="R8" s="8">
        <f>Q8/P8</f>
        <v>1.98594585454407007</v>
      </c>
      <c r="S8" s="9">
        <f>(R8-S$2)/S$2</f>
        <v>0.036031429514069</v>
      </c>
      <c r="U8" s="7"/>
    </row>
    <row r="9" spans="1:21">
      <c r="A9">
        <f>A8+1</f>
        <v>5</v>
      </c>
      <c r="B9">
        <f>B$4+A9*N$1</f>
        <v>-4.5</v>
      </c>
      <c r="C9">
        <f>B9*B9</f>
        <v>20.25</v>
      </c>
      <c r="D9">
        <f>2*B9</f>
        <v>-9</v>
      </c>
      <c r="E9">
        <f>2*N$2*(N$4-C9)</f>
        <v>-36.2636193007897987</v>
      </c>
      <c r="F9">
        <f>SQRT(-E9)</f>
        <v>6.02192820455290967</v>
      </c>
      <c r="G9" s="4">
        <f>ABS($N$2*D9/(-E9)^1.5)</f>
        <v>0.0412131480524740024</v>
      </c>
      <c r="H9">
        <f>H8*(2-N$1^2*E9)-H7</f>
        <v>0.0000164996895190000004</v>
      </c>
      <c r="I9">
        <f>I8*(F8/F9)^0.25*EXP(0.5*N$1*(F9+F8))</f>
        <v>0.0000128262431610000016</v>
      </c>
      <c r="J9">
        <f>H9^2</f>
        <v>2.722397542233984599E-10</v>
      </c>
      <c r="K9">
        <f>(E9*H9/SQRT(J$2))^2</f>
        <v>6.86005506317699814E-08</v>
      </c>
      <c r="O9" t="n">
        <v>0.05</v>
      </c>
      <c r="P9" s="6" t="n">
        <v>5.140236534748864478E-06</v>
      </c>
      <c r="Q9" t="n">
        <v>0.0000103173305925001757</v>
      </c>
      <c r="R9" s="8">
        <f>Q9/P9</f>
        <v>2.00717039444645984</v>
      </c>
      <c r="S9" s="9">
        <f>(R9-S$2)/S$2</f>
        <v>0.0471038816484199963</v>
      </c>
      <c r="U9" s="7"/>
    </row>
    <row r="10" spans="1:21">
      <c r="A10">
        <f>A9+1</f>
        <v>6</v>
      </c>
      <c r="B10">
        <f>B$4+A10*N$1</f>
        <v>-4.40000000000000036</v>
      </c>
      <c r="C10">
        <f>B10*B10</f>
        <v>19.3599999999999994</v>
      </c>
      <c r="D10">
        <f>2*B10</f>
        <v>-8.80000000000000071</v>
      </c>
      <c r="E10">
        <f>2*N$2*(N$4-C10)</f>
        <v>-34.4836193007897975</v>
      </c>
      <c r="F10">
        <f>SQRT(-E10)</f>
        <v>5.87227547895956992</v>
      </c>
      <c r="G10" s="4">
        <f>ABS($N$2*D10/(-E10)^1.5)</f>
        <v>0.0434573669699349985</v>
      </c>
      <c r="H10">
        <f>H9*(2-N$1^2*E10)-H8</f>
        <v>0.0000296726268830000031</v>
      </c>
      <c r="I10">
        <f>I9*(F9/F10)^0.25*EXP(0.5*N$1*(F10+F9))</f>
        <v>0.0000233943567569999988</v>
      </c>
      <c r="J10">
        <f>H10^2</f>
        <v>8.804647861377342956E-10</v>
      </c>
      <c r="K10">
        <f>(E10*H10/SQRT(J$2))^2</f>
        <v>2.006187124832831106E-07</v>
      </c>
      <c r="M10" t="s">
        <v>25</v>
      </c>
      <c r="N10">
        <f>N1*SUM(K4:K400)</f>
        <v>7.57151091113069974</v>
      </c>
      <c r="O10" t="n">
        <v>0.025</v>
      </c>
      <c r="P10" s="6" t="n">
        <v>0.0000104643671980538477</v>
      </c>
      <c r="Q10" t="n">
        <v>0.0000210933156292628077</v>
      </c>
      <c r="R10" s="8">
        <f>Q10/P10</f>
        <v>2.01572777692963978</v>
      </c>
      <c r="S10" s="9">
        <f>(R10-S$2)/S$2</f>
        <v>0.0515681107142130024</v>
      </c>
      <c r="U10" s="7"/>
    </row>
    <row r="11" spans="1:18">
      <c r="A11">
        <f>A10+1</f>
        <v>7</v>
      </c>
      <c r="B11">
        <f>B$4+A11*N$1</f>
        <v>-4.29999999999999982</v>
      </c>
      <c r="C11">
        <f>B11*B11</f>
        <v>18.4899999999999984</v>
      </c>
      <c r="D11">
        <f>2*B11</f>
        <v>-8.59999999999999964</v>
      </c>
      <c r="E11">
        <f>2*N$2*(N$4-C11)</f>
        <v>-32.7436193007898027</v>
      </c>
      <c r="F11">
        <f>SQRT(-E11)</f>
        <v>5.72220405969498991</v>
      </c>
      <c r="G11" s="4">
        <f>ABS($N$2*D11/(-E11)^1.5)</f>
        <v>0.0458995500119829991</v>
      </c>
      <c r="H11">
        <f>H10*(2-N$1^2*E11)-H9</f>
        <v>0.0000525614562299999921</v>
      </c>
      <c r="I11">
        <f>I10*(F10/F11)^0.25*EXP(0.5*N$1*(F11+F10))</f>
        <v>0.0000420429133459999971</v>
      </c>
      <c r="J11">
        <f>H11^2</f>
        <v>2.762706681018205942E-09</v>
      </c>
      <c r="K11">
        <f>(E11*H11/SQRT(J$2))^2</f>
        <v>5.675732339775130467E-07</v>
      </c>
      <c r="M11" t="s">
        <v>26</v>
      </c>
      <c r="N11">
        <f>N10*N1^2/(24*N2)</f>
        <v>0.0031547962129710001</v>
      </c>
      <c r="P11" s="6"/>
      <c r="R11" s="8"/>
    </row>
    <row r="12" spans="1:18">
      <c r="A12">
        <f>A11+1</f>
        <v>8</v>
      </c>
      <c r="B12">
        <f>B$4+A12*N$1</f>
        <v>-4.20000000000000018</v>
      </c>
      <c r="C12">
        <f>B12*B12</f>
        <v>17.6400000000000006</v>
      </c>
      <c r="D12">
        <f>2*B12</f>
        <v>-8.40000000000000036</v>
      </c>
      <c r="E12">
        <f>2*N$2*(N$4-C12)</f>
        <v>-31.0436193007897998</v>
      </c>
      <c r="F12">
        <f>SQRT(-E12)</f>
        <v>5.57168011472210978</v>
      </c>
      <c r="G12" s="4">
        <f>ABS($N$2*D12/(-E12)^1.5)</f>
        <v>0.0485647058632200057</v>
      </c>
      <c r="H12">
        <f>H11*(2-N$1^2*E12)-H10</f>
        <v>0.000091767263947999993</v>
      </c>
      <c r="I12">
        <f>I11*(F11/F12)^0.25*EXP(0.5*N$1*(F12+F11))</f>
        <v>0.0000744441667319999922</v>
      </c>
      <c r="J12">
        <f>H12^2</f>
        <v>8.421230732501900437E-09</v>
      </c>
      <c r="K12">
        <f>(E12*H12/SQRT(J$2))^2</f>
        <v>1.555084628399416989E-06</v>
      </c>
      <c r="P12" s="6" t="s">
        <v>13</v>
      </c>
      <c r="R12" s="8"/>
    </row>
    <row r="13" spans="1:18">
      <c r="A13">
        <f>A12+1</f>
        <v>9</v>
      </c>
      <c r="B13">
        <f>B$4+A13*N$1</f>
        <v>-4.09999999999999964</v>
      </c>
      <c r="C13">
        <f>B13*B13</f>
        <v>16.8099999999999987</v>
      </c>
      <c r="D13">
        <f>2*B13</f>
        <v>-8.19999999999999929</v>
      </c>
      <c r="E13">
        <f>2*N$2*(N$4-C13)</f>
        <v>-29.3836193007897997</v>
      </c>
      <c r="F13">
        <f>SQRT(-E13)</f>
        <v>5.42066594624589015</v>
      </c>
      <c r="G13" s="4">
        <f>ABS($N$2*D13/(-E13)^1.5)</f>
        <v>0.0514820603675959987</v>
      </c>
      <c r="H13">
        <f>H12*(2-N$1^2*E13)-H11</f>
        <v>0.000157937615146999981</v>
      </c>
      <c r="I13">
        <f>I12*(F12/F13)^0.25*EXP(0.5*N$1*(F13+F12))</f>
        <v>0.000129870292164000013</v>
      </c>
      <c r="J13">
        <f>H13^2</f>
        <v>2.494429027832188226E-08</v>
      </c>
      <c r="K13">
        <f>(E13*H13/SQRT(J$2))^2</f>
        <v>4.126819680287389228E-06</v>
      </c>
      <c r="O13" t="s">
        <v>21</v>
      </c>
      <c r="R13" s="8"/>
    </row>
    <row r="14" spans="1:19">
      <c r="A14">
        <f>A13+1</f>
        <v>10</v>
      </c>
      <c r="B14">
        <f>B$4+A14*N$1</f>
        <v>-4</v>
      </c>
      <c r="C14">
        <f>B14*B14</f>
        <v>16</v>
      </c>
      <c r="D14">
        <f>2*B14</f>
        <v>-8</v>
      </c>
      <c r="E14">
        <f>2*N$2*(N$4-C14)</f>
        <v>-27.7636193007897987</v>
      </c>
      <c r="F14">
        <f>SQRT(-E14)</f>
        <v>5.26911940468137985</v>
      </c>
      <c r="G14" s="4">
        <f>ABS($N$2*D14/(-E14)^1.5)</f>
        <v>0.0546859632168859999</v>
      </c>
      <c r="H14">
        <f>H13*(2-N$1^2*E14)-H12</f>
        <v>0.000267957164547999938</v>
      </c>
      <c r="I14">
        <f>I13*(F13/F14)^0.25*EXP(0.5*N$1*(F14+F13))</f>
        <v>0.00022321028812799999</v>
      </c>
      <c r="J14">
        <f>H14^2</f>
        <v>7.180104203260394159E-08</v>
      </c>
      <c r="K14">
        <f>(E14*H14/SQRT(J$2))^2</f>
        <v>0.0000106051465039999981</v>
      </c>
      <c r="O14" t="n">
        <v>0.1</v>
      </c>
      <c r="P14" t="n">
        <v>1.934684442031012818E-06</v>
      </c>
      <c r="Q14" t="n">
        <v>3.688393786614249478E-06</v>
      </c>
      <c r="R14" s="8">
        <f>Q14/P14</f>
        <v>1.90645756304434002</v>
      </c>
      <c r="S14" s="9">
        <f>(R14-S$2)/S$2</f>
        <v>-0.00543615032133500087</v>
      </c>
    </row>
    <row r="15" spans="1:19">
      <c r="A15">
        <f>A14+1</f>
        <v>11</v>
      </c>
      <c r="B15">
        <f>B$4+A15*N$1</f>
        <v>-3.9</v>
      </c>
      <c r="C15">
        <f>B15*B15</f>
        <v>15.2100000000000009</v>
      </c>
      <c r="D15">
        <f>2*B15</f>
        <v>-7.79999999999999982</v>
      </c>
      <c r="E15">
        <f>2*N$2*(N$4-C15)</f>
        <v>-26.1836193007898004</v>
      </c>
      <c r="F15">
        <f>SQRT(-E15)</f>
        <v>5.11699318944141002</v>
      </c>
      <c r="G15" s="4">
        <f>ABS($N$2*D15/(-E15)^1.5)</f>
        <v>0.0582170353847229904</v>
      </c>
      <c r="H15">
        <f>H14*(2-N$1^2*E15)-H13</f>
        <v>0.000448137597802999998</v>
      </c>
      <c r="I15">
        <f>I14*(F14/F15)^0.25*EXP(0.5*N$1*(F15+F14))</f>
        <v>0.000377943236508999991</v>
      </c>
      <c r="J15">
        <f>H15^2</f>
        <v>2.008273065646434128E-07</v>
      </c>
      <c r="K15">
        <f>(E15*H15/SQRT(J$2))^2</f>
        <v>0.0000263824961510000033</v>
      </c>
      <c r="O15" t="n">
        <v>0.05</v>
      </c>
      <c r="P15" s="6" t="n">
        <v>2.705869909011718075E-06</v>
      </c>
      <c r="Q15" t="n">
        <v>5.158636602156715962E-06</v>
      </c>
      <c r="R15" s="8">
        <f>Q15/P15</f>
        <v>1.90646142483650998</v>
      </c>
      <c r="S15" s="9">
        <f>(R15-S$2)/S$2</f>
        <v>-0.00543413569538099939</v>
      </c>
    </row>
    <row r="16" spans="1:19">
      <c r="A16">
        <f>A15+1</f>
        <v>12</v>
      </c>
      <c r="B16">
        <f>B$4+A16*N$1</f>
        <v>-3.79999999999999982</v>
      </c>
      <c r="C16">
        <f>B16*B16</f>
        <v>14.4399999999999995</v>
      </c>
      <c r="D16">
        <f>2*B16</f>
        <v>-7.59999999999999964</v>
      </c>
      <c r="E16">
        <f>2*N$2*(N$4-C16)</f>
        <v>-24.6436193007898012</v>
      </c>
      <c r="F16">
        <f>SQRT(-E16)</f>
        <v>4.96423400947112992</v>
      </c>
      <c r="G16" s="4">
        <f>ABS($N$2*D16/(-E16)^1.5)</f>
        <v>0.0621236344596019929</v>
      </c>
      <c r="H16">
        <f>H15*(2-N$1^2*E16)-H14</f>
        <v>0.000738755354603999947</v>
      </c>
      <c r="I16">
        <f>I15*(F15/F16)^0.25*EXP(0.5*N$1*(F16+F15))</f>
        <v>0.000630417547810999856</v>
      </c>
      <c r="J16">
        <f>H16^2</f>
        <v>5.457594739560818536E-07</v>
      </c>
      <c r="K16">
        <f>(E16*H16/SQRT(J$2))^2</f>
        <v>0.0000635102803320000042</v>
      </c>
      <c r="O16" t="n">
        <v>0.025</v>
      </c>
      <c r="P16" t="n">
        <v>3.20444139697349412E-06</v>
      </c>
      <c r="Q16" t="n">
        <v>6.109147005525263583E-06</v>
      </c>
      <c r="R16" s="8">
        <f>Q16/P16</f>
        <v>1.90646239038578997</v>
      </c>
      <c r="S16" s="9">
        <f>(R16-S$2)/S$2</f>
        <v>-0.0054336319860779998</v>
      </c>
    </row>
    <row r="17" spans="1:18">
      <c r="A17">
        <f>A16+1</f>
        <v>13</v>
      </c>
      <c r="B17">
        <f>B$4+A17*N$1</f>
        <v>-3.70000000000000018</v>
      </c>
      <c r="C17">
        <f>B17*B17</f>
        <v>13.6899999999999995</v>
      </c>
      <c r="D17">
        <f>2*B17</f>
        <v>-7.40000000000000036</v>
      </c>
      <c r="E17">
        <f>2*N$2*(N$4-C17)</f>
        <v>-23.1436193007898012</v>
      </c>
      <c r="F17">
        <f>SQRT(-E17)</f>
        <v>4.81078156860086992</v>
      </c>
      <c r="G17" s="4">
        <f>ABS($N$2*D17/(-E17)^1.5)</f>
        <v>0.0664637443747029977</v>
      </c>
      <c r="H17">
        <f>H16*(2-N$1^2*E17)-H15</f>
        <v>0.00120034783823900004</v>
      </c>
      <c r="I17">
        <f>I16*(F16/F17)^0.25*EXP(0.5*N$1*(F17+F16))</f>
        <v>0.00103585558371200004</v>
      </c>
      <c r="J17">
        <f>H17^2</f>
        <v>1.440834932765040068E-06</v>
      </c>
      <c r="K17">
        <f>(E17*H17/SQRT(J$2))^2</f>
        <v>0.000147880376279000014</v>
      </c>
      <c r="R17" s="8"/>
    </row>
    <row r="18" spans="1:18">
      <c r="A18">
        <f>A17+1</f>
        <v>14</v>
      </c>
      <c r="B18">
        <f>B$4+A18*N$1</f>
        <v>-3.60000000000000009</v>
      </c>
      <c r="C18">
        <f>B18*B18</f>
        <v>12.9600000000000009</v>
      </c>
      <c r="D18">
        <f>2*B18</f>
        <v>-7.20000000000000018</v>
      </c>
      <c r="E18">
        <f>2*N$2*(N$4-C18)</f>
        <v>-21.6836193007898004</v>
      </c>
      <c r="F18">
        <f>SQRT(-E18)</f>
        <v>4.65656733021114988</v>
      </c>
      <c r="G18" s="4">
        <f>ABS($N$2*D18/(-E18)^1.5)</f>
        <v>0.0713074384573950049</v>
      </c>
      <c r="H18">
        <f>H17*(2-N$1^2*E18)-H16</f>
        <v>0.00192221917740299997</v>
      </c>
      <c r="I18">
        <f>I17*(F17/F18)^0.25*EXP(0.5*N$1*(F18+F17))</f>
        <v>0.00167655389347400003</v>
      </c>
      <c r="J18">
        <f>H18^2</f>
        <v>3.694926565975865911E-06</v>
      </c>
      <c r="K18">
        <f>(E18*H18/SQRT(J$2))^2</f>
        <v>0.000332891819632000008</v>
      </c>
      <c r="R18" s="8"/>
    </row>
    <row r="19" spans="1:18">
      <c r="A19">
        <f>A18+1</f>
        <v>15</v>
      </c>
      <c r="B19">
        <f>B$4+A19*N$1</f>
        <v>-3.5</v>
      </c>
      <c r="C19">
        <f>B19*B19</f>
        <v>12.25</v>
      </c>
      <c r="D19">
        <f>2*B19</f>
        <v>-7</v>
      </c>
      <c r="E19">
        <f>2*N$2*(N$4-C19)</f>
        <v>-20.2636193007897987</v>
      </c>
      <c r="F19">
        <f>SQRT(-E19)</f>
        <v>4.50151300129077026</v>
      </c>
      <c r="G19" s="4">
        <f>ABS($N$2*D19/(-E19)^1.5)</f>
        <v>0.0767401269965950039</v>
      </c>
      <c r="H19">
        <f>H18*(2-N$1^2*E19)-H17</f>
        <v>0.00303360169280299985</v>
      </c>
      <c r="I19">
        <f>I18*(F18/F19)^0.25*EXP(0.5*N$1*(F19+F18))</f>
        <v>0.00267275746197400021</v>
      </c>
      <c r="J19">
        <f>H19^2</f>
        <v>9.202739230577226064E-06</v>
      </c>
      <c r="K19">
        <f>(E19*H19/SQRT(J$2))^2</f>
        <v>0.000724077271367999931</v>
      </c>
      <c r="P19" s="1" t="s">
        <v>27</v>
      </c>
      <c r="R19" s="8"/>
    </row>
    <row r="20" spans="1:18">
      <c r="A20">
        <f>A19+1</f>
        <v>16</v>
      </c>
      <c r="B20">
        <f>B$4+A20*N$1</f>
        <v>-3.39999999999999991</v>
      </c>
      <c r="C20">
        <f>B20*B20</f>
        <v>11.5600000000000005</v>
      </c>
      <c r="D20">
        <f>2*B20</f>
        <v>-6.79999999999999982</v>
      </c>
      <c r="E20">
        <f>2*N$2*(N$4-C20)</f>
        <v>-18.8836193007897997</v>
      </c>
      <c r="F20">
        <f>SQRT(-E20)</f>
        <v>4.34552865607738958</v>
      </c>
      <c r="G20" s="4">
        <f>ABS($N$2*D20/(-E20)^1.5)</f>
        <v>0.0828668934612220021</v>
      </c>
      <c r="H20">
        <f>H19*(2-N$1^2*E20)-H18</f>
        <v>0.00471783800297400013</v>
      </c>
      <c r="I20">
        <f>I19*(F19/F20)^0.25*EXP(0.5*N$1*(F20+F19))</f>
        <v>0.00419661947805000057</v>
      </c>
      <c r="J20">
        <f>H20^2</f>
        <v>0.0000222579954219999987</v>
      </c>
      <c r="K20">
        <f>(E20*H20/SQRT(J$2))^2</f>
        <v>0.00152086366919199971</v>
      </c>
      <c r="P20" t="s">
        <v>20</v>
      </c>
      <c r="R20" s="8"/>
    </row>
    <row r="21" spans="1:18">
      <c r="A21">
        <f>A20+1</f>
        <v>17</v>
      </c>
      <c r="B21">
        <f>B$4+A21*N$1</f>
        <v>-3.29999999999999982</v>
      </c>
      <c r="C21">
        <f>B21*B21</f>
        <v>10.8900000000000006</v>
      </c>
      <c r="D21">
        <f>2*B21</f>
        <v>-6.59999999999999964</v>
      </c>
      <c r="E21">
        <f>2*N$2*(N$4-C21)</f>
        <v>-17.5436193007897998</v>
      </c>
      <c r="F21">
        <f>SQRT(-E21)</f>
        <v>4.18851039162967975</v>
      </c>
      <c r="G21" s="4">
        <f>ABS($N$2*D21/(-E21)^1.5)</f>
        <v>0.0898183647121569884</v>
      </c>
      <c r="H21">
        <f>H20*(2-N$1^2*E21)-H19</f>
        <v>0.00722975385161500039</v>
      </c>
      <c r="I21">
        <f>I20*(F20/F21)^0.25*EXP(0.5*N$1*(F21+F20))</f>
        <v>0.00648947629831699935</v>
      </c>
      <c r="J21">
        <f>H21^2</f>
        <v>0.0000522693407550000089</v>
      </c>
      <c r="K21">
        <f>(E21*H21/SQRT(J$2))^2</f>
        <v>0.00308261420722200041</v>
      </c>
      <c r="O21" t="s">
        <v>21</v>
      </c>
      <c r="P21" s="3" t="s">
        <v>22</v>
      </c>
      <c r="Q21" s="3" t="s">
        <v>23</v>
      </c>
      <c r="R21" s="8" t="s">
        <v>24</v>
      </c>
    </row>
    <row r="22" spans="1:19">
      <c r="A22">
        <f>A21+1</f>
        <v>18</v>
      </c>
      <c r="B22">
        <f>B$4+A22*N$1</f>
        <v>-3.20000000000000018</v>
      </c>
      <c r="C22">
        <f>B22*B22</f>
        <v>10.2400000000000002</v>
      </c>
      <c r="D22">
        <f>2*B22</f>
        <v>-6.40000000000000036</v>
      </c>
      <c r="E22">
        <f>2*N$2*(N$4-C22)</f>
        <v>-16.2436193007897991</v>
      </c>
      <c r="F22">
        <f>SQRT(-E22)</f>
        <v>4.03033736811074039</v>
      </c>
      <c r="G22" s="4">
        <f>ABS($N$2*D22/(-E22)^1.5)</f>
        <v>0.0977587793807579963</v>
      </c>
      <c r="H22">
        <f>H21*(2-N$1^2*E22)-H20</f>
        <v>0.0109160433922970013</v>
      </c>
      <c r="I22">
        <f>I21*(F21/F22)^0.25*EXP(0.5*N$1*(F22+F21))</f>
        <v>0.009882326789635</v>
      </c>
      <c r="J22">
        <f>H22^2</f>
        <v>0.00011916000334300001</v>
      </c>
      <c r="K22">
        <f>(E22*H22/SQRT(J$2))^2</f>
        <v>0.00602462300252399974</v>
      </c>
      <c r="O22" t="n">
        <v>0.1</v>
      </c>
      <c r="P22" s="6" t="n">
        <v>14.6188611484722024</v>
      </c>
      <c r="Q22" s="6" t="n">
        <v>27.3793836381876474</v>
      </c>
      <c r="R22" s="8">
        <f>Q22/P22</f>
        <v>1.87288075043035001</v>
      </c>
      <c r="S22" s="9">
        <f>(R22-S$2)/S$2</f>
        <v>-0.0229525559632120002</v>
      </c>
    </row>
    <row r="23" spans="1:19">
      <c r="A23">
        <f>A22+1</f>
        <v>19</v>
      </c>
      <c r="B23">
        <f>B$4+A23*N$1</f>
        <v>-3.10000000000000009</v>
      </c>
      <c r="C23">
        <f>B23*B23</f>
        <v>9.60999999999999943</v>
      </c>
      <c r="D23">
        <f>2*B23</f>
        <v>-6.20000000000000018</v>
      </c>
      <c r="E23">
        <f>2*N$2*(N$4-C23)</f>
        <v>-14.9836193007897993</v>
      </c>
      <c r="F23">
        <f>SQRT(-E23)</f>
        <v>3.87086802936883991</v>
      </c>
      <c r="G23" s="4">
        <f>ABS($N$2*D23/(-E23)^1.5)</f>
        <v>0.106897265142365994</v>
      </c>
      <c r="H23">
        <f>H22*(2-N$1^2*E23)-H21</f>
        <v>0.0162379513175900003</v>
      </c>
      <c r="I23">
        <f>I22*(F22/F23)^0.25*EXP(0.5*N$1*(F23+F22))</f>
        <v>0.0148188658094909993</v>
      </c>
      <c r="J23">
        <f>H23^2</f>
        <v>0.000263671062992000049</v>
      </c>
      <c r="K23">
        <f>(E23*H23/SQRT(J$2))^2</f>
        <v>0.0113430460248890008</v>
      </c>
      <c r="O23" t="n">
        <v>0.05</v>
      </c>
      <c r="P23" s="6" t="n">
        <v>49.6479681941776079</v>
      </c>
      <c r="Q23" t="n">
        <v>94.2634058657857423</v>
      </c>
      <c r="R23" s="8">
        <f>Q23/P23</f>
        <v>1.89863572054173986</v>
      </c>
      <c r="S23" s="9">
        <f>(R23-S$2)/S$2</f>
        <v>-0.00951666170630600128</v>
      </c>
    </row>
    <row r="24" spans="1:19">
      <c r="A24">
        <f>A23+1</f>
        <v>20</v>
      </c>
      <c r="B24">
        <f>B$4+A24*N$1</f>
        <v>-3</v>
      </c>
      <c r="C24">
        <f>B24*B24</f>
        <v>9</v>
      </c>
      <c r="D24">
        <f>2*B24</f>
        <v>-6</v>
      </c>
      <c r="E24">
        <f>2*N$2*(N$4-C24)</f>
        <v>-13.7636193007898004</v>
      </c>
      <c r="F24">
        <f>SQRT(-E24)</f>
        <v>3.70993521517421998</v>
      </c>
      <c r="G24" s="4">
        <f>ABS($N$2*D24/(-E24)^1.5)</f>
        <v>0.117503897760185994</v>
      </c>
      <c r="H24">
        <f>H23*(2-N$1^2*E24)-H22</f>
        <v>0.0237947890444839993</v>
      </c>
      <c r="I24">
        <f>I23*(F23/F24)^0.25*EXP(0.5*N$1*(F24+F23))</f>
        <v>0.0218796578366299999</v>
      </c>
      <c r="J24">
        <f>H24^2</f>
        <v>0.000566191985670999909</v>
      </c>
      <c r="K24">
        <f>(E24*H24/SQRT(J$2))^2</f>
        <v>0.0205524114141120018</v>
      </c>
      <c r="O24" t="n">
        <v>0.025</v>
      </c>
      <c r="P24" t="n">
        <v>118.88791307469964</v>
      </c>
      <c r="Q24" t="n">
        <v>226.939990195412861</v>
      </c>
      <c r="R24" s="8">
        <f>Q24/P24</f>
        <v>1.90885670650826995</v>
      </c>
      <c r="S24" s="9">
        <f>(R24-S$2)/S$2</f>
        <v>-0.00418456129796999932</v>
      </c>
    </row>
    <row r="25" spans="1:18">
      <c r="A25">
        <f>A24+1</f>
        <v>21</v>
      </c>
      <c r="B25">
        <f>B$4+A25*N$1</f>
        <v>-2.9</v>
      </c>
      <c r="C25">
        <f>B25*B25</f>
        <v>8.41000000000000014</v>
      </c>
      <c r="D25">
        <f>2*B25</f>
        <v>-5.79999999999999982</v>
      </c>
      <c r="E25">
        <f>2*N$2*(N$4-C25)</f>
        <v>-12.5836193007898007</v>
      </c>
      <c r="F25">
        <f>SQRT(-E25)</f>
        <v>3.54733974983928002</v>
      </c>
      <c r="G25" s="4">
        <f>ABS($N$2*D25/(-E25)^1.5)</f>
        <v>0.129933051266595978</v>
      </c>
      <c r="H25">
        <f>H24*(2-N$1^2*E25)-H23</f>
        <v>0.0343458724381620017</v>
      </c>
      <c r="I25">
        <f>I24*(F24/F25)^0.25*EXP(0.5*N$1*(F25+F24))</f>
        <v>0.031805053809392998</v>
      </c>
      <c r="J25">
        <f>H25^2</f>
        <v>0.00117963895353800008</v>
      </c>
      <c r="K25">
        <f>(E25*H25/SQRT(J$2))^2</f>
        <v>0.0357926629619389969</v>
      </c>
      <c r="P25" s="6"/>
      <c r="R25" s="8"/>
    </row>
    <row r="26" spans="1:18">
      <c r="A26">
        <f>A25+1</f>
        <v>22</v>
      </c>
      <c r="B26">
        <f>B$4+A26*N$1</f>
        <v>-2.79999999999999982</v>
      </c>
      <c r="C26">
        <f>B26*B26</f>
        <v>7.83999999999999986</v>
      </c>
      <c r="D26">
        <f>2*B26</f>
        <v>-5.59999999999999964</v>
      </c>
      <c r="E26">
        <f>2*N$2*(N$4-C26)</f>
        <v>-11.4436193007898002</v>
      </c>
      <c r="F26">
        <f>SQRT(-E26)</f>
        <v>3.38284189710216987</v>
      </c>
      <c r="G26" s="4">
        <f>ABS($N$2*D26/(-E26)^1.5)</f>
        <v>0.144658155995645998</v>
      </c>
      <c r="H26">
        <f>H25*(2-N$1^2*E26)-H24</f>
        <v>0.0488273667191979932</v>
      </c>
      <c r="I26">
        <f>I25*(F25/F26)^0.25*EXP(0.5*N$1*(F26+F25))</f>
        <v>0.0455133065507769974</v>
      </c>
      <c r="J26">
        <f>H26^2</f>
        <v>0.00238411174073099996</v>
      </c>
      <c r="K26">
        <f>(E26*H26/SQRT(J$2))^2</f>
        <v>0.0598256152407129882</v>
      </c>
      <c r="P26" s="6" t="s">
        <v>13</v>
      </c>
      <c r="R26" s="8"/>
    </row>
    <row r="27" spans="1:18">
      <c r="A27">
        <f>A26+1</f>
        <v>23</v>
      </c>
      <c r="B27">
        <f>B$4+A27*N$1</f>
        <v>-2.70000000000000018</v>
      </c>
      <c r="C27">
        <f>B27*B27</f>
        <v>7.29000000000000004</v>
      </c>
      <c r="D27">
        <f>2*B27</f>
        <v>-5.40000000000000036</v>
      </c>
      <c r="E27">
        <f>2*N$2*(N$4-C27)</f>
        <v>-10.3436193007898005</v>
      </c>
      <c r="F27">
        <f>SQRT(-E27)</f>
        <v>3.21614976342672998</v>
      </c>
      <c r="G27" s="4">
        <f>ABS($N$2*D27/(-E27)^1.5)</f>
        <v>0.162324834229143011</v>
      </c>
      <c r="H27">
        <f>H26*(2-N$1^2*E27)-H25</f>
        <v>0.0683593779282690051</v>
      </c>
      <c r="I27">
        <f>I26*(F26/F27)^0.25*EXP(0.5*N$1*(F27+F26))</f>
        <v>0.0641091517549059997</v>
      </c>
      <c r="J27">
        <f>H27^2</f>
        <v>0.00467300455073999998</v>
      </c>
      <c r="K27">
        <f>(E27*H27/SQRT(J$2))^2</f>
        <v>0.095802098831626008</v>
      </c>
      <c r="O27" t="s">
        <v>21</v>
      </c>
      <c r="R27" s="8"/>
    </row>
    <row r="28" spans="1:19">
      <c r="A28">
        <f>A27+1</f>
        <v>24</v>
      </c>
      <c r="B28">
        <f>B$4+A28*N$1</f>
        <v>-2.60000000000000009</v>
      </c>
      <c r="C28">
        <f>B28*B28</f>
        <v>6.75999999999999979</v>
      </c>
      <c r="D28">
        <f>2*B28</f>
        <v>-5.20000000000000018</v>
      </c>
      <c r="E28">
        <f>2*N$2*(N$4-C28)</f>
        <v>-9.28361930078980002</v>
      </c>
      <c r="F28">
        <f>SQRT(-E28)</f>
        <v>3.04690323128086993</v>
      </c>
      <c r="G28" s="4">
        <f>ABS($N$2*D28/(-E28)^1.5)</f>
        <v>0.18383464445704</v>
      </c>
      <c r="H28">
        <f>H27*(2-N$1^2*E28)-H26</f>
        <v>0.0942376135405890025</v>
      </c>
      <c r="I28">
        <f>I27*(F27/F28)^0.25*EXP(0.5*N$1*(F28+F27))</f>
        <v>0.0888771048379889983</v>
      </c>
      <c r="J28">
        <f>H28^2</f>
        <v>0.00888072780582499988</v>
      </c>
      <c r="K28">
        <f>(E28*H28/SQRT(J$2))^2</f>
        <v>0.146661785765050023</v>
      </c>
      <c r="O28" t="n">
        <v>0.1</v>
      </c>
      <c r="P28" s="6" t="n">
        <v>22.2515021204831633</v>
      </c>
      <c r="Q28" t="n">
        <v>42.421544506692392</v>
      </c>
      <c r="R28" s="8">
        <f>Q28/P28</f>
        <v>1.90645756304434002</v>
      </c>
      <c r="S28" s="9">
        <f>(R28-S$2)/S$2</f>
        <v>-0.00543615032133500087</v>
      </c>
    </row>
    <row r="29" spans="1:19">
      <c r="A29">
        <f>A28+1</f>
        <v>25</v>
      </c>
      <c r="B29">
        <f>B$4+A29*N$1</f>
        <v>-2.5</v>
      </c>
      <c r="C29">
        <f>B29*B29</f>
        <v>6.25</v>
      </c>
      <c r="D29">
        <f>2*B29</f>
        <v>-5</v>
      </c>
      <c r="E29">
        <f>2*N$2*(N$4-C29)</f>
        <v>-8.26361930078980045</v>
      </c>
      <c r="F29">
        <f>SQRT(-E29)</f>
        <v>2.87465116158288012</v>
      </c>
      <c r="G29" s="4">
        <f>ABS($N$2*D29/(-E29)^1.5)</f>
        <v>0.210481801574684013</v>
      </c>
      <c r="H29">
        <f>H28*(2-N$1^2*E29)-H27</f>
        <v>0.127903286774053004</v>
      </c>
      <c r="I29">
        <f>I28*(F28/F29)^0.25*EXP(0.5*N$1*(F29+F28))</f>
        <v>0.121253196562310994</v>
      </c>
      <c r="J29">
        <f>H29^2</f>
        <v>0.0163592507676059995</v>
      </c>
      <c r="K29">
        <f>(E29*H29/SQRT(J$2))^2</f>
        <v>0.214061111598944009</v>
      </c>
      <c r="O29" t="n">
        <v>0.05</v>
      </c>
      <c r="P29" t="n">
        <v>35.9833429352174576</v>
      </c>
      <c r="Q29" t="n">
        <v>68.6008552426554132</v>
      </c>
      <c r="R29" s="8">
        <f>Q29/P29</f>
        <v>1.90646142483650998</v>
      </c>
      <c r="S29" s="9">
        <f>(R29-S$2)/S$2</f>
        <v>-0.00543413569538099939</v>
      </c>
    </row>
    <row r="30" spans="1:19">
      <c r="A30">
        <f>A29+1</f>
        <v>26</v>
      </c>
      <c r="B30">
        <f>B$4+A30*N$1</f>
        <v>-2.39999999999999991</v>
      </c>
      <c r="C30">
        <f>B30*B30</f>
        <v>5.75999999999999979</v>
      </c>
      <c r="D30">
        <f>2*B30</f>
        <v>-4.79999999999999982</v>
      </c>
      <c r="E30">
        <f>2*N$2*(N$4-C30)</f>
        <v>-7.28361930078980002</v>
      </c>
      <c r="F30">
        <f>SQRT(-E30)</f>
        <v>2.69881813036555007</v>
      </c>
      <c r="G30" s="4">
        <f>ABS($N$2*D30/(-E30)^1.5)</f>
        <v>0.244185786060576993</v>
      </c>
      <c r="H30">
        <f>H29*(2-N$1^2*E30)-H28</f>
        <v>0.170884948489336992</v>
      </c>
      <c r="I30">
        <f>I29*(F29/F30)^0.25*EXP(0.5*N$1*(F30+F29))</f>
        <v>0.162769274387602003</v>
      </c>
      <c r="J30">
        <f>H30^2</f>
        <v>0.0292016656202029967</v>
      </c>
      <c r="K30">
        <f>(E30*H30/SQRT(J$2))^2</f>
        <v>0.296849187006786952</v>
      </c>
      <c r="O30" t="n">
        <v>0.025</v>
      </c>
      <c r="P30" t="n">
        <v>45.8201584807334541</v>
      </c>
      <c r="Q30" t="n">
        <v>87.3544088650348556</v>
      </c>
      <c r="R30" s="8">
        <f>Q30/P30</f>
        <v>1.90646239038578997</v>
      </c>
      <c r="S30" s="9">
        <f>(R30-S$2)/S$2</f>
        <v>-0.0054336319860779998</v>
      </c>
    </row>
    <row r="31" spans="1:18">
      <c r="A31">
        <f>A30+1</f>
        <v>27</v>
      </c>
      <c r="B31">
        <f>B$4+A31*N$1</f>
        <v>-2.29999999999999982</v>
      </c>
      <c r="C31">
        <f>B31*B31</f>
        <v>5.29000000000000004</v>
      </c>
      <c r="D31">
        <f>2*B31</f>
        <v>-4.59999999999999964</v>
      </c>
      <c r="E31">
        <f>2*N$2*(N$4-C31)</f>
        <v>-6.34361930078979963</v>
      </c>
      <c r="F31">
        <f>SQRT(-E31)</f>
        <v>2.51865426384603008</v>
      </c>
      <c r="G31" s="4">
        <f>ABS($N$2*D31/(-E31)^1.5)</f>
        <v>0.287906960084213015</v>
      </c>
      <c r="H31">
        <f>H30*(2-N$1^2*E31)-H29</f>
        <v>0.224706900779135976</v>
      </c>
      <c r="I31">
        <f>I30*(F30/F31)^0.25*EXP(0.5*N$1*(F31+F30))</f>
        <v>0.214965946234397975</v>
      </c>
      <c r="J31">
        <f>H31^2</f>
        <v>0.0504931912577639963</v>
      </c>
      <c r="K31">
        <f>(E31*H31/SQRT(J$2))^2</f>
        <v>0.389350563309009026</v>
      </c>
      <c r="R31" s="8"/>
    </row>
    <row r="32" spans="1:18">
      <c r="A32">
        <f>A31+1</f>
        <v>28</v>
      </c>
      <c r="B32">
        <f>B$4+A32*N$1</f>
        <v>-2.20000000000000018</v>
      </c>
      <c r="C32">
        <f>B32*B32</f>
        <v>4.83999999999999986</v>
      </c>
      <c r="D32">
        <f>2*B32</f>
        <v>-4.40000000000000036</v>
      </c>
      <c r="E32">
        <f>2*N$2*(N$4-C32)</f>
        <v>-5.44361930078980016</v>
      </c>
      <c r="F32">
        <f>SQRT(-E32)</f>
        <v>2.33315651013595993</v>
      </c>
      <c r="G32" s="4">
        <f>ABS($N$2*D32/(-E32)^1.5)</f>
        <v>0.346434438992339011</v>
      </c>
      <c r="H32">
        <f>H31*(2-N$1^2*E32)-H30</f>
        <v>0.290761041289955013</v>
      </c>
      <c r="I32">
        <f>I31*(F31/F32)^0.25*EXP(0.5*N$1*(F32+F31))</f>
        <v>0.279274684511853</v>
      </c>
      <c r="J32">
        <f>H32^2</f>
        <v>0.0845419831320189985</v>
      </c>
      <c r="K32">
        <f>(E32*H32/SQRT(J$2))^2</f>
        <v>0.48004470700770101</v>
      </c>
      <c r="P32" s="1" t="s">
        <v>28</v>
      </c>
      <c r="R32" s="8"/>
    </row>
    <row r="33" spans="1:18">
      <c r="A33">
        <f>A32+1</f>
        <v>29</v>
      </c>
      <c r="B33">
        <f>B$4+A33*N$1</f>
        <v>-2.10000000000000009</v>
      </c>
      <c r="C33">
        <f>B33*B33</f>
        <v>4.41000000000000014</v>
      </c>
      <c r="D33">
        <f>2*B33</f>
        <v>-4.20000000000000018</v>
      </c>
      <c r="E33">
        <f>2*N$2*(N$4-C33)</f>
        <v>-4.58361930078979984</v>
      </c>
      <c r="F33">
        <f>SQRT(-E33)</f>
        <v>2.14093888301133006</v>
      </c>
      <c r="G33" s="4">
        <f>ABS($N$2*D33/(-E33)^1.5)</f>
        <v>0.427992817832109029</v>
      </c>
      <c r="H33">
        <f>H32*(2-N$1^2*E33)-H31</f>
        <v>0.370142561008518012</v>
      </c>
      <c r="I33">
        <f>I32*(F32/F33)^0.25*EXP(0.5*N$1*(F33+F32))</f>
        <v>0.356878362589006004</v>
      </c>
      <c r="J33">
        <f>H33^2</f>
        <v>0.137005515469944994</v>
      </c>
      <c r="K33">
        <f>(E33*H33/SQRT(J$2))^2</f>
        <v>0.551555086477144041</v>
      </c>
      <c r="P33" t="s">
        <v>20</v>
      </c>
      <c r="R33" s="8"/>
    </row>
    <row r="34" spans="1:18">
      <c r="A34">
        <f>A33+1</f>
        <v>30</v>
      </c>
      <c r="B34">
        <f>B$4+A34*N$1</f>
        <v>-2</v>
      </c>
      <c r="C34">
        <f>B34*B34</f>
        <v>4</v>
      </c>
      <c r="D34">
        <f>2*B34</f>
        <v>-4</v>
      </c>
      <c r="E34">
        <f>2*N$2*(N$4-C34)</f>
        <v>-3.7636193007898</v>
      </c>
      <c r="F34">
        <f>SQRT(-E34)</f>
        <v>1.94000497442397997</v>
      </c>
      <c r="G34" s="4">
        <f>ABS($N$2*D34/(-E34)^1.5)</f>
        <v>0.547837126567361032</v>
      </c>
      <c r="H34">
        <f>H33*(2-N$1^2*E34)-H32</f>
        <v>0.463454837593635993</v>
      </c>
      <c r="I34">
        <f>I33*(F33/F34)^0.25*EXP(0.5*N$1*(F34+F33))</f>
        <v>0.448577146639529012</v>
      </c>
      <c r="J34">
        <f>H34^2</f>
        <v>0.214790386488943996</v>
      </c>
      <c r="K34">
        <f>(E34*H34/SQRT(J$2))^2</f>
        <v>0.582988486028243003</v>
      </c>
      <c r="O34" t="s">
        <v>21</v>
      </c>
      <c r="P34" s="3" t="s">
        <v>22</v>
      </c>
      <c r="Q34" s="3" t="s">
        <v>23</v>
      </c>
      <c r="R34" s="8" t="s">
        <v>24</v>
      </c>
    </row>
    <row r="35" spans="1:19">
      <c r="A35">
        <f>A34+1</f>
        <v>31</v>
      </c>
      <c r="B35">
        <f>B$4+A35*N$1</f>
        <v>-1.9</v>
      </c>
      <c r="C35">
        <f>B35*B35</f>
        <v>3.60999999999999988</v>
      </c>
      <c r="D35">
        <f>2*B35</f>
        <v>-3.79999999999999982</v>
      </c>
      <c r="E35">
        <f>2*N$2*(N$4-C35)</f>
        <v>-2.9836193007898002</v>
      </c>
      <c r="F35">
        <f>SQRT(-E35)</f>
        <v>1.72731563438469005</v>
      </c>
      <c r="G35" s="4">
        <f>ABS($N$2*D35/(-E35)^1.5)</f>
        <v>0.737341171731977951</v>
      </c>
      <c r="H35">
        <f>H34*(2-N$1^2*E35)-H33</f>
        <v>0.570594842163643001</v>
      </c>
      <c r="I35">
        <f>I34*(F34/F35)^0.25*EXP(0.5*N$1*(F35+F34))</f>
        <v>0.554727612531522052</v>
      </c>
      <c r="J35">
        <f>H35^2</f>
        <v>0.325578473903753007</v>
      </c>
      <c r="K35">
        <f>(E35*H35/SQRT(J$2))^2</f>
        <v>0.555362131265928038</v>
      </c>
      <c r="O35" t="n">
        <v>0.1</v>
      </c>
      <c r="P35" t="n">
        <v>3.3686421094095045E+15</v>
      </c>
      <c r="Q35" t="n">
        <v>6.309064961802128E+15</v>
      </c>
      <c r="R35" s="8">
        <f>Q35/P35</f>
        <v>1.87288075043034006</v>
      </c>
      <c r="S35" s="9">
        <f>(R35-S$2)/S$2</f>
        <v>-0.0229525559632169962</v>
      </c>
    </row>
    <row r="36" spans="1:19">
      <c r="A36">
        <f>A35+1</f>
        <v>32</v>
      </c>
      <c r="B36">
        <f>B$4+A36*N$1</f>
        <v>-1.8</v>
      </c>
      <c r="C36">
        <f>B36*B36</f>
        <v>3.24000000000000021</v>
      </c>
      <c r="D36">
        <f>2*B36</f>
        <v>-3.60000000000000009</v>
      </c>
      <c r="E36">
        <f>2*N$2*(N$4-C36)</f>
        <v>-2.24361930078979999</v>
      </c>
      <c r="F36">
        <f>SQRT(-E36)</f>
        <v>1.49787159022053995</v>
      </c>
      <c r="G36" s="4">
        <f>ABS($N$2*D36/(-E36)^1.5)</f>
        <v>1.07122019043252004</v>
      </c>
      <c r="H36">
        <f>H35*(2-N$1^2*E36)-H34</f>
        <v>0.690536822741743972</v>
      </c>
      <c r="I36">
        <f>I35*(F35/F36)^0.25*EXP(0.5*N$1*(F36+F35))</f>
        <v>0.675442082054502002</v>
      </c>
      <c r="J36">
        <f>H36^2</f>
        <v>0.476841103562262969</v>
      </c>
      <c r="K36">
        <f>(E36*H36/SQRT(J$2))^2</f>
        <v>0.459944874106789037</v>
      </c>
      <c r="O36" t="n">
        <v>0.05</v>
      </c>
      <c r="P36" t="n">
        <v>5.28651318230404E+16</v>
      </c>
      <c r="Q36" t="n">
        <v>1.00371627650372288E+17</v>
      </c>
      <c r="R36" s="8">
        <f>Q36/P36</f>
        <v>1.89863572054173986</v>
      </c>
      <c r="S36" s="9">
        <f>(R36-S$2)/S$2</f>
        <v>-0.00951666170630600128</v>
      </c>
    </row>
    <row r="37" spans="1:19">
      <c r="A37">
        <f>A36+1</f>
        <v>33</v>
      </c>
      <c r="B37">
        <f>B$4+A37*N$1</f>
        <v>-1.7</v>
      </c>
      <c r="C37">
        <f>B37*B37</f>
        <v>2.89000000000000021</v>
      </c>
      <c r="D37">
        <f>2*B37</f>
        <v>-3.39999999999999991</v>
      </c>
      <c r="E37">
        <f>2*N$2*(N$4-C37)</f>
        <v>-1.54361930078979999</v>
      </c>
      <c r="F37">
        <f>SQRT(-E37)</f>
        <v>1.24242476665181001</v>
      </c>
      <c r="G37" s="4">
        <f>ABS($N$2*D37/(-E37)^1.5)</f>
        <v>1.77283622314203999</v>
      </c>
      <c r="H37">
        <f>H36*(2-N$1^2*E37)-H35</f>
        <v>0.821138062994747031</v>
      </c>
      <c r="I37">
        <f>I36*(F36/F37)^0.25*EXP(0.5*N$1*(F37+F36))</f>
        <v>0.811697139011132052</v>
      </c>
      <c r="J37">
        <f>H37^2</f>
        <v>0.674267718498764967</v>
      </c>
      <c r="K37">
        <f>(E37*H37/SQRT(J$2))^2</f>
        <v>0.307855227231903017</v>
      </c>
      <c r="O37" t="n">
        <v>0.025</v>
      </c>
      <c r="P37" t="n">
        <v>2.07303325840157696E+17</v>
      </c>
      <c r="Q37" t="n">
        <v>3.9571234381145408E+17</v>
      </c>
      <c r="R37" s="8">
        <f>Q37/P37</f>
        <v>1.90885670650826995</v>
      </c>
      <c r="S37" s="9">
        <f>(R37-S$2)/S$2</f>
        <v>-0.00418456129796999932</v>
      </c>
    </row>
    <row r="38" spans="1:18">
      <c r="A38">
        <f>A37+1</f>
        <v>34</v>
      </c>
      <c r="B38">
        <f>B$4+A38*N$1</f>
        <v>-1.60000000000000009</v>
      </c>
      <c r="C38">
        <f>B38*B38</f>
        <v>2.56000000000000005</v>
      </c>
      <c r="D38">
        <f>2*B38</f>
        <v>-3.20000000000000018</v>
      </c>
      <c r="E38">
        <f>2*N$2*(N$4-C38)</f>
        <v>-0.883619300789800022</v>
      </c>
      <c r="F38">
        <f>SQRT(-E38)</f>
        <v>0.940010266321490917</v>
      </c>
      <c r="G38" s="4">
        <f>ABS($N$2*D38/(-E38)^1.5)</f>
        <v>3.85258463292278019</v>
      </c>
      <c r="H38">
        <f>H37*(2-N$1^2*E38)-H36</f>
        <v>0.958995037658506</v>
      </c>
      <c r="I38">
        <f>I37*(F37/F38)^0.25*EXP(0.5*N$1*(F38+F37))</f>
        <v>0.970664989751773888</v>
      </c>
      <c r="J38">
        <f>H38^2</f>
        <v>0.919671482253639105</v>
      </c>
      <c r="K38">
        <f>(E38*H38/SQRT(J$2))^2</f>
        <v>0.137593168252015996</v>
      </c>
      <c r="P38" s="6"/>
      <c r="R38" s="8"/>
    </row>
    <row r="39" spans="1:18">
      <c r="A39">
        <f>A38+1</f>
        <v>35</v>
      </c>
      <c r="B39">
        <f>B$4+A39*N$1</f>
        <v>-1.5</v>
      </c>
      <c r="C39">
        <f>B39*B39</f>
        <v>2.25</v>
      </c>
      <c r="D39">
        <f>2*B39</f>
        <v>-3</v>
      </c>
      <c r="E39">
        <f>2*N$2*(N$4-C39)</f>
        <v>-0.263619300789800004</v>
      </c>
      <c r="F39">
        <f>SQRT(-E39)</f>
        <v>0.513438702076304043</v>
      </c>
      <c r="G39" s="4">
        <f>ABS($N$2*D39/(-E39)^1.5)</f>
        <v>22.1643729396302014</v>
      </c>
      <c r="H39">
        <f>H38*(2-N$1^2*E39)-H37</f>
        <v>1.09938010833514998</v>
      </c>
      <c r="I39">
        <f>I38*(F38/F39)^0.25*EXP(0.5*N$1*(F39+F38))</f>
        <v>1.21420385584415991</v>
      </c>
      <c r="J39">
        <f>H39^2</f>
        <v>1.20863662260301008</v>
      </c>
      <c r="K39">
        <f>(E39*H39/SQRT(J$2))^2</f>
        <v>0.0160947383636070001</v>
      </c>
      <c r="P39" s="6" t="s">
        <v>13</v>
      </c>
      <c r="R39" s="8"/>
    </row>
    <row r="40" spans="1:18">
      <c r="A40">
        <f>A39+1</f>
        <v>36</v>
      </c>
      <c r="B40">
        <f>B$4+A40*N$1</f>
        <v>-1.39999999999999991</v>
      </c>
      <c r="C40">
        <f>B40*B40</f>
        <v>1.95999999999999996</v>
      </c>
      <c r="D40">
        <f>2*B40</f>
        <v>-2.79999999999999982</v>
      </c>
      <c r="E40">
        <f>2*N$2*(N$4-C40)</f>
        <v>0.316380699210200023</v>
      </c>
      <c r="F40" t="e">
        <f>SQRT(-E40)</f>
        <v>#NUM!</v>
      </c>
      <c r="G40" s="4" t="e">
        <f>ABS($N$2*D40/(-E40)^1.5)</f>
        <v>#NUM!</v>
      </c>
      <c r="H40">
        <f>H39*(2-N$1^2*E40)-H38</f>
        <v>1.23628695253805998</v>
      </c>
      <c r="I40" t="e">
        <f>I39*(F39/F40)^0.25*EXP(0.5*N$1*(F40+F39))</f>
        <v>#NUM!</v>
      </c>
      <c r="J40">
        <f>H40^2</f>
        <v>1.52840542901583998</v>
      </c>
      <c r="K40">
        <f>(E40*H40/SQRT(J$2))^2</f>
        <v>0.0293151620151959982</v>
      </c>
      <c r="O40" t="s">
        <v>21</v>
      </c>
      <c r="R40" s="8"/>
    </row>
    <row r="41" spans="1:19">
      <c r="A41">
        <f>A40+1</f>
        <v>37</v>
      </c>
      <c r="B41">
        <f>B$4+A41*N$1</f>
        <v>-1.30000000000000004</v>
      </c>
      <c r="C41">
        <f>B41*B41</f>
        <v>1.68999999999999995</v>
      </c>
      <c r="D41">
        <f>2*B41</f>
        <v>-2.60000000000000009</v>
      </c>
      <c r="E41">
        <f>2*N$2*(N$4-C41)</f>
        <v>0.856380699210200014</v>
      </c>
      <c r="F41" t="e">
        <f>SQRT(-E41)</f>
        <v>#NUM!</v>
      </c>
      <c r="G41" s="4" t="e">
        <f>ABS($N$2*D41/(-E41)^1.5)</f>
        <v>#NUM!</v>
      </c>
      <c r="H41">
        <f>H40*(2-N$1^2*E41)-H39</f>
        <v>1.36260647389258005</v>
      </c>
      <c r="I41" t="e">
        <f>I40*(F40/F41)^0.25*EXP(0.5*N$1*(F41+F40))</f>
        <v>#NUM!</v>
      </c>
      <c r="J41">
        <f>H41^2</f>
        <v>1.85669640269397007</v>
      </c>
      <c r="K41">
        <f>(E41*H41/SQRT(J$2))^2</f>
        <v>0.260920619825213951</v>
      </c>
      <c r="O41" t="n">
        <v>0.1</v>
      </c>
      <c r="P41" t="n">
        <v>4.2518318704128608E+16</v>
      </c>
      <c r="Q41" t="n">
        <v>8.1059370261415776E+16</v>
      </c>
      <c r="R41" s="8">
        <f>Q41/P41</f>
        <v>1.90645756304434002</v>
      </c>
      <c r="S41" s="9">
        <f>(R41-S$2)/S$2</f>
        <v>-0.00543615032133500087</v>
      </c>
    </row>
    <row r="42" spans="1:19">
      <c r="A42">
        <f>A41+1</f>
        <v>38</v>
      </c>
      <c r="B42">
        <f>B$4+A42*N$1</f>
        <v>-1.19999999999999996</v>
      </c>
      <c r="C42">
        <f>B42*B42</f>
        <v>1.43999999999999995</v>
      </c>
      <c r="D42">
        <f>2*B42</f>
        <v>-2.39999999999999991</v>
      </c>
      <c r="E42">
        <f>2*N$2*(N$4-C42)</f>
        <v>1.3563806992102001</v>
      </c>
      <c r="F42" t="e">
        <f>SQRT(-E42)</f>
        <v>#NUM!</v>
      </c>
      <c r="G42" s="4" t="e">
        <f>ABS($N$2*D42/(-E42)^1.5)</f>
        <v>#NUM!</v>
      </c>
      <c r="H42">
        <f>H41*(2-N$1^2*E42)-H40</f>
        <v>1.47044386402903999</v>
      </c>
      <c r="I42" t="e">
        <f>I41*(F41/F42)^0.25*EXP(0.5*N$1*(F42+F41))</f>
        <v>#NUM!</v>
      </c>
      <c r="J42">
        <f>H42^2</f>
        <v>2.16220515726064999</v>
      </c>
      <c r="K42">
        <f>(E42*H42/SQRT(J$2))^2</f>
        <v>0.762243738503194024</v>
      </c>
      <c r="O42" t="n">
        <v>0.05</v>
      </c>
      <c r="P42" t="n">
        <v>8.5240186168974384E+16</v>
      </c>
      <c r="Q42" t="n">
        <v>1.62507126777032224E+17</v>
      </c>
      <c r="R42" s="8">
        <f>Q42/P42</f>
        <v>1.90646142483650998</v>
      </c>
      <c r="S42" s="9">
        <f>(R42-S$2)/S$2</f>
        <v>-0.00543413569538099939</v>
      </c>
    </row>
    <row r="43" spans="1:19">
      <c r="A43">
        <f>A42+1</f>
        <v>39</v>
      </c>
      <c r="B43">
        <f>B$4+A43*N$1</f>
        <v>-1.10000000000000009</v>
      </c>
      <c r="C43">
        <f>B43*B43</f>
        <v>1.20999999999999996</v>
      </c>
      <c r="D43">
        <f>2*B43</f>
        <v>-2.20000000000000018</v>
      </c>
      <c r="E43">
        <f>2*N$2*(N$4-C43)</f>
        <v>1.81638069921019998</v>
      </c>
      <c r="F43" t="e">
        <f>SQRT(-E43)</f>
        <v>#NUM!</v>
      </c>
      <c r="G43" s="4" t="e">
        <f>ABS($N$2*D43/(-E43)^1.5)</f>
        <v>#NUM!</v>
      </c>
      <c r="H43">
        <f>H42*(2-N$1^2*E43)-H41</f>
        <v>1.55157239562655995</v>
      </c>
      <c r="I43" t="e">
        <f>I42*(F42/F43)^0.25*EXP(0.5*N$1*(F43+F42))</f>
        <v>#NUM!</v>
      </c>
      <c r="J43">
        <f>H43^2</f>
        <v>2.40737689887034012</v>
      </c>
      <c r="K43">
        <f>(E43*H43/SQRT(J$2))^2</f>
        <v>1.52191924798060008</v>
      </c>
      <c r="O43" t="n">
        <v>0.025</v>
      </c>
      <c r="P43" t="n">
        <v>1.20852557065762E+17</v>
      </c>
      <c r="Q43" t="n">
        <v>2.30400854827827584E+17</v>
      </c>
      <c r="R43" s="8">
        <f>Q43/P43</f>
        <v>1.90646239038578997</v>
      </c>
      <c r="S43" s="9">
        <f>(R43-S$2)/S$2</f>
        <v>-0.0054336319860779998</v>
      </c>
    </row>
    <row r="44" spans="1:11">
      <c r="A44">
        <f>A43+1</f>
        <v>40</v>
      </c>
      <c r="B44">
        <f>B$4+A44*N$1</f>
        <v>-1</v>
      </c>
      <c r="C44">
        <f>B44*B44</f>
        <v>1</v>
      </c>
      <c r="D44">
        <f>2*B44</f>
        <v>-2</v>
      </c>
      <c r="E44">
        <f>2*N$2*(N$4-C44)</f>
        <v>2.2363806992102</v>
      </c>
      <c r="F44" t="e">
        <f>SQRT(-E44)</f>
        <v>#NUM!</v>
      </c>
      <c r="G44" s="4" t="e">
        <f>ABS($N$2*D44/(-E44)^1.5)</f>
        <v>#NUM!</v>
      </c>
      <c r="H44">
        <f>H43*(2-N$1^2*E44)-H42</f>
        <v>1.59800186163401996</v>
      </c>
      <c r="I44" t="e">
        <f>I43*(F43/F44)^0.25*EXP(0.5*N$1*(F44+F43))</f>
        <v>#NUM!</v>
      </c>
      <c r="J44">
        <f>H44^2</f>
        <v>2.55360994978578981</v>
      </c>
      <c r="K44">
        <f>(E44*H44/SQRT(J$2))^2</f>
        <v>2.44725822513757985</v>
      </c>
    </row>
    <row r="45" spans="1:11">
      <c r="A45">
        <f>A44+1</f>
        <v>41</v>
      </c>
      <c r="B45">
        <f>B$4+A45*N$1</f>
        <v>-0.900000000000001066</v>
      </c>
      <c r="C45">
        <f>B45*B45</f>
        <v>0.810000000000002096</v>
      </c>
      <c r="D45">
        <f>2*B45</f>
        <v>-1.8</v>
      </c>
      <c r="E45">
        <f>2*N$2*(N$4-C45)</f>
        <v>2.61638069921019989</v>
      </c>
      <c r="F45" t="e">
        <f>SQRT(-E45)</f>
        <v>#NUM!</v>
      </c>
      <c r="G45" s="4" t="e">
        <f>ABS($N$2*D45/(-E45)^1.5)</f>
        <v>#NUM!</v>
      </c>
      <c r="H45">
        <f>H44*(2-N$1^2*E45)-H43</f>
        <v>1.60262151536066995</v>
      </c>
      <c r="I45" t="e">
        <f>I44*(F44/F45)^0.25*EXP(0.5*N$1*(F45+F44))</f>
        <v>#NUM!</v>
      </c>
      <c r="J45">
        <f>H45^2</f>
        <v>2.56839572149692996</v>
      </c>
      <c r="K45">
        <f>(E45*H45/SQRT(J$2))^2</f>
        <v>3.3689733477748498</v>
      </c>
    </row>
    <row r="46" spans="1:11">
      <c r="A46">
        <f>A45+1</f>
        <v>42</v>
      </c>
      <c r="B46">
        <f>B$4+A46*N$1</f>
        <v>-0.8</v>
      </c>
      <c r="C46">
        <f>B46*B46</f>
        <v>0.640000000000000036</v>
      </c>
      <c r="D46">
        <f>2*B46</f>
        <v>-1.60000000000000009</v>
      </c>
      <c r="E46">
        <f>2*N$2*(N$4-C46)</f>
        <v>2.95638069921020019</v>
      </c>
      <c r="F46" t="e">
        <f>SQRT(-E46)</f>
        <v>#NUM!</v>
      </c>
      <c r="G46" s="4" t="e">
        <f>ABS($N$2*D46/(-E46)^1.5)</f>
        <v>#NUM!</v>
      </c>
      <c r="H46">
        <f>H45*(2-N$1^2*E46)-H44</f>
        <v>1.55986157592581005</v>
      </c>
      <c r="I46" t="e">
        <f>I45*(F45/F46)^0.25*EXP(0.5*N$1*(F46+F45))</f>
        <v>#NUM!</v>
      </c>
      <c r="J46">
        <f>H46^2</f>
        <v>2.43316813604974991</v>
      </c>
      <c r="K46">
        <f>(E46*H46/SQRT(J$2))^2</f>
        <v>4.07499050469079993</v>
      </c>
    </row>
    <row r="47" spans="1:11">
      <c r="A47">
        <f>A46+1</f>
        <v>43</v>
      </c>
      <c r="B47">
        <f>B$4+A47*N$1</f>
        <v>-0.7</v>
      </c>
      <c r="C47">
        <f>B47*B47</f>
        <v>0.490000000000000036</v>
      </c>
      <c r="D47">
        <f>2*B47</f>
        <v>-1.39999999999999991</v>
      </c>
      <c r="E47">
        <f>2*N$2*(N$4-C47)</f>
        <v>3.25638069921020001</v>
      </c>
      <c r="F47" t="e">
        <f>SQRT(-E47)</f>
        <v>#NUM!</v>
      </c>
      <c r="G47" s="4" t="e">
        <f>ABS($N$2*D47/(-E47)^1.5)</f>
        <v>#NUM!</v>
      </c>
      <c r="H47">
        <f>H46*(2-N$1^2*E47)-H45</f>
        <v>1.46630660519810991</v>
      </c>
      <c r="I47" t="e">
        <f>I46*(F46/F47)^0.25*EXP(0.5*N$1*(F47+F46))</f>
        <v>#NUM!</v>
      </c>
      <c r="J47">
        <f>H47^2</f>
        <v>2.15005506044761008</v>
      </c>
      <c r="K47">
        <f>(E47*H47/SQRT(J$2))^2</f>
        <v>4.36871475945542009</v>
      </c>
    </row>
    <row r="48" spans="1:11">
      <c r="A48">
        <f>A47+1</f>
        <v>44</v>
      </c>
      <c r="B48">
        <f>B$4+A48*N$1</f>
        <v>-0.6</v>
      </c>
      <c r="C48">
        <f>B48*B48</f>
        <v>0.359999999999999964</v>
      </c>
      <c r="D48">
        <f>2*B48</f>
        <v>-1.19999999999999996</v>
      </c>
      <c r="E48">
        <f>2*N$2*(N$4-C48)</f>
        <v>3.5163806992101998</v>
      </c>
      <c r="F48" t="e">
        <f>SQRT(-E48)</f>
        <v>#NUM!</v>
      </c>
      <c r="G48" s="4" t="e">
        <f>ABS($N$2*D48/(-E48)^1.5)</f>
        <v>#NUM!</v>
      </c>
      <c r="H48">
        <f>H47*(2-N$1^2*E48)-H46</f>
        <v>1.32119071201398008</v>
      </c>
      <c r="I48" t="e">
        <f>I47*(F47/F48)^0.25*EXP(0.5*N$1*(F48+F47))</f>
        <v>#NUM!</v>
      </c>
      <c r="J48">
        <f>H48^2</f>
        <v>1.74554489751201007</v>
      </c>
      <c r="K48">
        <f>(E48*H48/SQRT(J$2))^2</f>
        <v>4.13577175728894009</v>
      </c>
    </row>
    <row r="49" spans="1:11">
      <c r="A49">
        <f>A48+1</f>
        <v>45</v>
      </c>
      <c r="B49">
        <f>B$4+A49*N$1</f>
        <v>-0.5</v>
      </c>
      <c r="C49">
        <f>B49*B49</f>
        <v>0.25</v>
      </c>
      <c r="D49">
        <f>2*B49</f>
        <v>-1</v>
      </c>
      <c r="E49">
        <f>2*N$2*(N$4-C49)</f>
        <v>3.7363806992102</v>
      </c>
      <c r="F49" t="e">
        <f>SQRT(-E49)</f>
        <v>#NUM!</v>
      </c>
      <c r="G49" s="4" t="e">
        <f>ABS($N$2*D49/(-E49)^1.5)</f>
        <v>#NUM!</v>
      </c>
      <c r="H49">
        <f>H48*(2-N$1^2*E49)-H47</f>
        <v>1.12671010406641003</v>
      </c>
      <c r="I49" t="e">
        <f>I48*(F48/F49)^0.25*EXP(0.5*N$1*(F49+F48))</f>
        <v>#NUM!</v>
      </c>
      <c r="J49">
        <f>H49^2</f>
        <v>1.26947565860533995</v>
      </c>
      <c r="K49">
        <f>(E49*H49/SQRT(J$2))^2</f>
        <v>3.39594292091204997</v>
      </c>
    </row>
    <row r="50" spans="1:11">
      <c r="A50">
        <f>A49+1</f>
        <v>46</v>
      </c>
      <c r="B50">
        <f>B$4+A50*N$1</f>
        <v>-0.4</v>
      </c>
      <c r="C50">
        <f>B50*B50</f>
        <v>0.160000000000000009</v>
      </c>
      <c r="D50">
        <f>2*B50</f>
        <v>-0.8</v>
      </c>
      <c r="E50">
        <f>2*N$2*(N$4-C50)</f>
        <v>3.91638069921020016</v>
      </c>
      <c r="F50" t="e">
        <f>SQRT(-E50)</f>
        <v>#NUM!</v>
      </c>
      <c r="G50" s="4" t="e">
        <f>ABS($N$2*D50/(-E50)^1.5)</f>
        <v>#NUM!</v>
      </c>
      <c r="H50">
        <f>H49*(2-N$1^2*E50)-H48</f>
        <v>0.888103239067129913</v>
      </c>
      <c r="I50" t="e">
        <f>I49*(F49/F50)^0.25*EXP(0.5*N$1*(F50+F49))</f>
        <v>#NUM!</v>
      </c>
      <c r="J50">
        <f>H50^2</f>
        <v>0.788727363241528057</v>
      </c>
      <c r="K50">
        <f>(E50*H50/SQRT(J$2))^2</f>
        <v>2.31809097028539979</v>
      </c>
    </row>
    <row r="51" spans="1:11">
      <c r="A51">
        <f>A50+1</f>
        <v>47</v>
      </c>
      <c r="B51">
        <f>B$4+A51*N$1</f>
        <v>-0.3</v>
      </c>
      <c r="C51">
        <f>B51*B51</f>
        <v>0.09</v>
      </c>
      <c r="D51">
        <f>2*B51</f>
        <v>-0.6</v>
      </c>
      <c r="E51">
        <f>2*N$2*(N$4-C51)</f>
        <v>4.05638069921019984</v>
      </c>
      <c r="F51" t="e">
        <f>SQRT(-E51)</f>
        <v>#NUM!</v>
      </c>
      <c r="G51" s="4" t="e">
        <f>ABS($N$2*D51/(-E51)^1.5)</f>
        <v>#NUM!</v>
      </c>
      <c r="H51">
        <f>H50*(2-N$1^2*E51)-H49</f>
        <v>0.613471525689269992</v>
      </c>
      <c r="I51" t="e">
        <f>I50*(F50/F51)^0.25*EXP(0.5*N$1*(F51+F50))</f>
        <v>#NUM!</v>
      </c>
      <c r="J51">
        <f>H51^2</f>
        <v>0.37634731283152103</v>
      </c>
      <c r="K51">
        <f>(E51*H51/SQRT(J$2))^2</f>
        <v>1.18658812768765998</v>
      </c>
    </row>
    <row r="52" spans="1:11">
      <c r="A52">
        <f>A51+1</f>
        <v>48</v>
      </c>
      <c r="B52">
        <f>B$4+A52*N$1</f>
        <v>-0.2</v>
      </c>
      <c r="C52">
        <f>B52*B52</f>
        <v>0.04</v>
      </c>
      <c r="D52">
        <f>2*B52</f>
        <v>-0.4</v>
      </c>
      <c r="E52">
        <f>2*N$2*(N$4-C52)</f>
        <v>4.15638069921020037</v>
      </c>
      <c r="F52" t="e">
        <f>SQRT(-E52)</f>
        <v>#NUM!</v>
      </c>
      <c r="G52" s="4" t="e">
        <f>ABS($N$2*D52/(-E52)^1.5)</f>
        <v>#NUM!</v>
      </c>
      <c r="H52">
        <f>H51*(2-N$1^2*E52)-H50</f>
        <v>0.313341600222510008</v>
      </c>
      <c r="I52" t="e">
        <f>I51*(F51/F52)^0.25*EXP(0.5*N$1*(F52+F51))</f>
        <v>#NUM!</v>
      </c>
      <c r="J52">
        <f>H52^2</f>
        <v>0.0981829584300030156</v>
      </c>
      <c r="K52">
        <f>(E52*H52/SQRT(J$2))^2</f>
        <v>0.325012838753097011</v>
      </c>
    </row>
    <row r="53" spans="1:11">
      <c r="A53">
        <f>A52+1</f>
        <v>49</v>
      </c>
      <c r="B53">
        <f>B$4+A53*N$1</f>
        <v>-0.1</v>
      </c>
      <c r="C53">
        <f>B53*B53</f>
        <v>0.01</v>
      </c>
      <c r="D53">
        <f>2*B53</f>
        <v>-0.2</v>
      </c>
      <c r="E53">
        <f>2*N$2*(N$4-C53)</f>
        <v>4.21638069921019998</v>
      </c>
      <c r="F53" t="e">
        <f>SQRT(-E53)</f>
        <v>#NUM!</v>
      </c>
      <c r="G53" s="4" t="e">
        <f>ABS($N$2*D53/(-E53)^1.5)</f>
        <v>#NUM!</v>
      </c>
      <c r="H53">
        <f>H52*(2-N$1^2*E53)-H51</f>
        <v>1.372013613831768049E-12</v>
      </c>
      <c r="I53" t="e">
        <f>I52*(F52/F53)^0.25*EXP(0.5*N$1*(F53+F52))</f>
        <v>#NUM!</v>
      </c>
      <c r="J53">
        <f>H53^2</f>
        <v>1.882421356539707947E-24</v>
      </c>
      <c r="K53">
        <f>(E53*H53/SQRT(J$2))^2</f>
        <v>6.412542237522560029E-24</v>
      </c>
    </row>
    <row r="54" spans="1:11">
      <c r="A54">
        <f>A53+1</f>
        <v>50</v>
      </c>
      <c r="B54">
        <f>B$4+A54*N$1</f>
        <v>0</v>
      </c>
      <c r="C54">
        <f>B54*B54</f>
        <v>0</v>
      </c>
      <c r="D54">
        <f>2*B54</f>
        <v>0</v>
      </c>
      <c r="E54">
        <f>2*N$2*(N$4-C54)</f>
        <v>4.23638069921020044</v>
      </c>
      <c r="F54" t="e">
        <f>SQRT(-E54)</f>
        <v>#NUM!</v>
      </c>
      <c r="G54" s="4" t="e">
        <f>ABS($N$2*D54/(-E54)^1.5)</f>
        <v>#NUM!</v>
      </c>
      <c r="H54">
        <f>H53*(2-N$1^2*E54)-H52</f>
        <v>-0.313341600219823979</v>
      </c>
      <c r="I54" t="e">
        <f>I53*(F53/F54)^0.25*EXP(0.5*N$1*(F54+F53))</f>
        <v>#NUM!</v>
      </c>
      <c r="J54">
        <f>H54^2</f>
        <v>0.0981829584283200063</v>
      </c>
      <c r="K54">
        <f>(E54*H54/SQRT(J$2))^2</f>
        <v>0.337644624226081014</v>
      </c>
    </row>
    <row r="55" spans="1:11">
      <c r="A55">
        <f>A54+1</f>
        <v>51</v>
      </c>
      <c r="B55">
        <f>B$4+A55*N$1</f>
        <v>0.1</v>
      </c>
      <c r="C55">
        <f>B55*B55</f>
        <v>0.01</v>
      </c>
      <c r="D55">
        <f>2*B55</f>
        <v>0.2</v>
      </c>
      <c r="E55">
        <f>2*N$2*(N$4-C55)</f>
        <v>4.21638069921019998</v>
      </c>
      <c r="F55" t="e">
        <f>SQRT(-E55)</f>
        <v>#NUM!</v>
      </c>
      <c r="G55" s="4" t="e">
        <f>ABS($N$2*D55/(-E55)^1.5)</f>
        <v>#NUM!</v>
      </c>
      <c r="H55">
        <f>H54*(2-N$1^2*E55)-H53</f>
        <v>-0.613471525686756003</v>
      </c>
      <c r="I55" t="e">
        <f>I54*(F54/F55)^0.25*EXP(0.5*N$1*(F55+F54))</f>
        <v>#NUM!</v>
      </c>
      <c r="J55">
        <f>H55^2</f>
        <v>0.376347312828435987</v>
      </c>
      <c r="K55">
        <f>(E55*H55/SQRT(J$2))^2</f>
        <v>1.28204189306833992</v>
      </c>
    </row>
    <row r="56" spans="1:11">
      <c r="A56">
        <f>A55+1</f>
        <v>52</v>
      </c>
      <c r="B56">
        <f>B$4+A56*N$1</f>
        <v>0.2</v>
      </c>
      <c r="C56">
        <f>B56*B56</f>
        <v>0.04</v>
      </c>
      <c r="D56">
        <f>2*B56</f>
        <v>0.4</v>
      </c>
      <c r="E56">
        <f>2*N$2*(N$4-C56)</f>
        <v>4.15638069921020037</v>
      </c>
      <c r="F56" t="e">
        <f>SQRT(-E56)</f>
        <v>#NUM!</v>
      </c>
      <c r="G56" s="4" t="e">
        <f>ABS($N$2*D56/(-E56)^1.5)</f>
        <v>#NUM!</v>
      </c>
      <c r="H56">
        <f>H55*(2-N$1^2*E56)-H54</f>
        <v>-0.888103239064895966</v>
      </c>
      <c r="I56" t="e">
        <f>I55*(F55/F56)^0.25*EXP(0.5*N$1*(F56+F55))</f>
        <v>#NUM!</v>
      </c>
      <c r="J56">
        <f>H56^2</f>
        <v>0.788727363237559942</v>
      </c>
      <c r="K56">
        <f>(E56*H56/SQRT(J$2))^2</f>
        <v>2.61090644880945</v>
      </c>
    </row>
    <row r="57" spans="1:11">
      <c r="A57">
        <f>A56+1</f>
        <v>53</v>
      </c>
      <c r="B57">
        <f>B$4+A57*N$1</f>
        <v>0.3</v>
      </c>
      <c r="C57">
        <f>B57*B57</f>
        <v>0.09</v>
      </c>
      <c r="D57">
        <f>2*B57</f>
        <v>0.6</v>
      </c>
      <c r="E57">
        <f>2*N$2*(N$4-C57)</f>
        <v>4.05638069921019984</v>
      </c>
      <c r="F57" t="e">
        <f>SQRT(-E57)</f>
        <v>#NUM!</v>
      </c>
      <c r="G57" s="4" t="e">
        <f>ABS($N$2*D57/(-E57)^1.5)</f>
        <v>#NUM!</v>
      </c>
      <c r="H57">
        <f>H56*(2-N$1^2*E57)-H55</f>
        <v>-1.12671010406453997</v>
      </c>
      <c r="I57" t="e">
        <f>I56*(F56/F57)^0.25*EXP(0.5*N$1*(F57+F56))</f>
        <v>#NUM!</v>
      </c>
      <c r="J57">
        <f>H57^2</f>
        <v>1.26947565860112999</v>
      </c>
      <c r="K57">
        <f>(E57*H57/SQRT(J$2))^2</f>
        <v>4.00253886111553037</v>
      </c>
    </row>
    <row r="58" spans="1:11">
      <c r="A58">
        <f>A57+1</f>
        <v>54</v>
      </c>
      <c r="B58">
        <f>B$4+A58*N$1</f>
        <v>0.4</v>
      </c>
      <c r="C58">
        <f>B58*B58</f>
        <v>0.160000000000000009</v>
      </c>
      <c r="D58">
        <f>2*B58</f>
        <v>0.8</v>
      </c>
      <c r="E58">
        <f>2*N$2*(N$4-C58)</f>
        <v>3.91638069921020016</v>
      </c>
      <c r="F58" t="e">
        <f>SQRT(-E58)</f>
        <v>#NUM!</v>
      </c>
      <c r="G58" s="4" t="e">
        <f>ABS($N$2*D58/(-E58)^1.5)</f>
        <v>#NUM!</v>
      </c>
      <c r="H58">
        <f>H57*(2-N$1^2*E58)-H56</f>
        <v>-1.32119071201254989</v>
      </c>
      <c r="I58" t="e">
        <f>I57*(F57/F58)^0.25*EXP(0.5*N$1*(F58+F57))</f>
        <v>#NUM!</v>
      </c>
      <c r="J58">
        <f>H58^2</f>
        <v>1.74554489750822999</v>
      </c>
      <c r="K58">
        <f>(E58*H58/SQRT(J$2))^2</f>
        <v>5.13020348186208963</v>
      </c>
    </row>
    <row r="59" spans="1:11">
      <c r="A59">
        <f>A58+1</f>
        <v>55</v>
      </c>
      <c r="B59">
        <f>B$4+A59*N$1</f>
        <v>0.5</v>
      </c>
      <c r="C59">
        <f>B59*B59</f>
        <v>0.25</v>
      </c>
      <c r="D59">
        <f>2*B59</f>
        <v>1</v>
      </c>
      <c r="E59">
        <f>2*N$2*(N$4-C59)</f>
        <v>3.7363806992102</v>
      </c>
      <c r="F59" t="e">
        <f>SQRT(-E59)</f>
        <v>#NUM!</v>
      </c>
      <c r="G59" s="4" t="e">
        <f>ABS($N$2*D59/(-E59)^1.5)</f>
        <v>#NUM!</v>
      </c>
      <c r="H59">
        <f>H58*(2-N$1^2*E59)-H57</f>
        <v>-1.46630660519717004</v>
      </c>
      <c r="I59" t="e">
        <f>I58*(F58/F59)^0.25*EXP(0.5*N$1*(F59+F58))</f>
        <v>#NUM!</v>
      </c>
      <c r="J59">
        <f>H59^2</f>
        <v>2.15005506044485006</v>
      </c>
      <c r="K59">
        <f>(E59*H59/SQRT(J$2))^2</f>
        <v>5.7515590886636403</v>
      </c>
    </row>
    <row r="60" spans="1:11">
      <c r="A60">
        <f>A59+1</f>
        <v>56</v>
      </c>
      <c r="B60">
        <f>B$4+A60*N$1</f>
        <v>0.6</v>
      </c>
      <c r="C60">
        <f>B60*B60</f>
        <v>0.359999999999999964</v>
      </c>
      <c r="D60">
        <f>2*B60</f>
        <v>1.19999999999999996</v>
      </c>
      <c r="E60">
        <f>2*N$2*(N$4-C60)</f>
        <v>3.5163806992101998</v>
      </c>
      <c r="F60" t="e">
        <f>SQRT(-E60)</f>
        <v>#NUM!</v>
      </c>
      <c r="G60" s="4" t="e">
        <f>ABS($N$2*D60/(-E60)^1.5)</f>
        <v>#NUM!</v>
      </c>
      <c r="H60">
        <f>H59*(2-N$1^2*E60)-H58</f>
        <v>-1.55986157592539998</v>
      </c>
      <c r="I60" t="e">
        <f>I59*(F59/F60)^0.25*EXP(0.5*N$1*(F60+F59))</f>
        <v>#NUM!</v>
      </c>
      <c r="J60">
        <f>H60^2</f>
        <v>2.43316813604847004</v>
      </c>
      <c r="K60">
        <f>(E60*H60/SQRT(J$2))^2</f>
        <v>5.76497807197506962</v>
      </c>
    </row>
    <row r="61" spans="1:11">
      <c r="A61">
        <f>A60+1</f>
        <v>57</v>
      </c>
      <c r="B61">
        <f>B$4+A61*N$1</f>
        <v>0.7</v>
      </c>
      <c r="C61">
        <f>B61*B61</f>
        <v>0.490000000000000036</v>
      </c>
      <c r="D61">
        <f>2*B61</f>
        <v>1.39999999999999991</v>
      </c>
      <c r="E61">
        <f>2*N$2*(N$4-C61)</f>
        <v>3.25638069921020001</v>
      </c>
      <c r="F61" t="e">
        <f>SQRT(-E61)</f>
        <v>#NUM!</v>
      </c>
      <c r="G61" s="4" t="e">
        <f>ABS($N$2*D61/(-E61)^1.5)</f>
        <v>#NUM!</v>
      </c>
      <c r="H61">
        <f>H60*(2-N$1^2*E61)-H59</f>
        <v>-1.60262151536080015</v>
      </c>
      <c r="I61" t="e">
        <f>I60*(F60/F61)^0.25*EXP(0.5*N$1*(F61+F60))</f>
        <v>#NUM!</v>
      </c>
      <c r="J61">
        <f>H61^2</f>
        <v>2.56839572149735007</v>
      </c>
      <c r="K61">
        <f>(E61*H61/SQRT(J$2))^2</f>
        <v>5.21874462800578964</v>
      </c>
    </row>
    <row r="62" spans="1:11">
      <c r="A62">
        <f>A61+1</f>
        <v>58</v>
      </c>
      <c r="B62">
        <f>B$4+A62*N$1</f>
        <v>0.8</v>
      </c>
      <c r="C62">
        <f>B62*B62</f>
        <v>0.640000000000000036</v>
      </c>
      <c r="D62">
        <f>2*B62</f>
        <v>1.60000000000000009</v>
      </c>
      <c r="E62">
        <f>2*N$2*(N$4-C62)</f>
        <v>2.95638069921020019</v>
      </c>
      <c r="F62" t="e">
        <f>SQRT(-E62)</f>
        <v>#NUM!</v>
      </c>
      <c r="G62" s="4" t="e">
        <f>ABS($N$2*D62/(-E62)^1.5)</f>
        <v>#NUM!</v>
      </c>
      <c r="H62">
        <f>H61*(2-N$1^2*E62)-H60</f>
        <v>-1.59800186163469</v>
      </c>
      <c r="I62" t="e">
        <f>I61*(F61/F62)^0.25*EXP(0.5*N$1*(F62+F61))</f>
        <v>#NUM!</v>
      </c>
      <c r="J62">
        <f>H62^2</f>
        <v>2.55360994978794009</v>
      </c>
      <c r="K62">
        <f>(E62*H62/SQRT(J$2))^2</f>
        <v>4.27670251960631997</v>
      </c>
    </row>
    <row r="63" spans="1:11">
      <c r="A63">
        <f>A62+1</f>
        <v>59</v>
      </c>
      <c r="B63">
        <f>B$4+A63*N$1</f>
        <v>0.900000000000001066</v>
      </c>
      <c r="C63">
        <f>B63*B63</f>
        <v>0.810000000000002096</v>
      </c>
      <c r="D63">
        <f>2*B63</f>
        <v>1.8</v>
      </c>
      <c r="E63">
        <f>2*N$2*(N$4-C63)</f>
        <v>2.61638069921019989</v>
      </c>
      <c r="F63" t="e">
        <f>SQRT(-E63)</f>
        <v>#NUM!</v>
      </c>
      <c r="G63" s="4" t="e">
        <f>ABS($N$2*D63/(-E63)^1.5)</f>
        <v>#NUM!</v>
      </c>
      <c r="H63">
        <f>H62*(2-N$1^2*E63)-H61</f>
        <v>-1.55157239562775011</v>
      </c>
      <c r="I63" t="e">
        <f>I62*(F62/F63)^0.25*EXP(0.5*N$1*(F63+F62))</f>
        <v>#NUM!</v>
      </c>
      <c r="J63">
        <f>H63^2</f>
        <v>2.40737689887403983</v>
      </c>
      <c r="K63">
        <f>(E63*H63/SQRT(J$2))^2</f>
        <v>3.15776441397763996</v>
      </c>
    </row>
    <row r="64" spans="1:11">
      <c r="A64">
        <f>A63+1</f>
        <v>60</v>
      </c>
      <c r="B64">
        <f>B$4+A64*N$1</f>
        <v>1</v>
      </c>
      <c r="C64">
        <f>B64*B64</f>
        <v>1</v>
      </c>
      <c r="D64">
        <f>2*B64</f>
        <v>2</v>
      </c>
      <c r="E64">
        <f>2*N$2*(N$4-C64)</f>
        <v>2.2363806992102</v>
      </c>
      <c r="F64" t="e">
        <f>SQRT(-E64)</f>
        <v>#NUM!</v>
      </c>
      <c r="G64" s="4" t="e">
        <f>ABS($N$2*D64/(-E64)^1.5)</f>
        <v>#NUM!</v>
      </c>
      <c r="H64">
        <f>H63*(2-N$1^2*E64)-H62</f>
        <v>-1.47044386403072007</v>
      </c>
      <c r="I64" t="e">
        <f>I63*(F63/F64)^0.25*EXP(0.5*N$1*(F64+F63))</f>
        <v>#NUM!</v>
      </c>
      <c r="J64">
        <f>H64^2</f>
        <v>2.16220515726559004</v>
      </c>
      <c r="K64">
        <f>(E64*H64/SQRT(J$2))^2</f>
        <v>2.07215450268627999</v>
      </c>
    </row>
    <row r="65" spans="1:11">
      <c r="A65">
        <f>A64+1</f>
        <v>61</v>
      </c>
      <c r="B65">
        <f>B$4+A65*N$1</f>
        <v>1.10000000000000009</v>
      </c>
      <c r="C65">
        <f>B65*B65</f>
        <v>1.20999999999999996</v>
      </c>
      <c r="D65">
        <f>2*B65</f>
        <v>2.20000000000000018</v>
      </c>
      <c r="E65">
        <f>2*N$2*(N$4-C65)</f>
        <v>1.81638069921019998</v>
      </c>
      <c r="F65" t="e">
        <f>SQRT(-E65)</f>
        <v>#NUM!</v>
      </c>
      <c r="G65" s="4" t="e">
        <f>ABS($N$2*D65/(-E65)^1.5)</f>
        <v>#NUM!</v>
      </c>
      <c r="H65">
        <f>H64*(2-N$1^2*E65)-H63</f>
        <v>-1.36260647389471989</v>
      </c>
      <c r="I65" t="e">
        <f>I64*(F64/F65)^0.25*EXP(0.5*N$1*(F65+F64))</f>
        <v>#NUM!</v>
      </c>
      <c r="J65">
        <f>H65^2</f>
        <v>1.85669640269980007</v>
      </c>
      <c r="K65">
        <f>(E65*H65/SQRT(J$2))^2</f>
        <v>1.17378462601809996</v>
      </c>
    </row>
    <row r="66" spans="1:11">
      <c r="A66">
        <f>A65+1</f>
        <v>62</v>
      </c>
      <c r="B66">
        <f>B$4+A66*N$1</f>
        <v>1.19999999999999996</v>
      </c>
      <c r="C66">
        <f>B66*B66</f>
        <v>1.43999999999999995</v>
      </c>
      <c r="D66">
        <f>2*B66</f>
        <v>2.39999999999999991</v>
      </c>
      <c r="E66">
        <f>2*N$2*(N$4-C66)</f>
        <v>1.3563806992102001</v>
      </c>
      <c r="F66" t="e">
        <f>SQRT(-E66)</f>
        <v>#NUM!</v>
      </c>
      <c r="G66" s="4" t="e">
        <f>ABS($N$2*D66/(-E66)^1.5)</f>
        <v>#NUM!</v>
      </c>
      <c r="H66">
        <f>H65*(2-N$1^2*E66)-H64</f>
        <v>-1.23628695254062992</v>
      </c>
      <c r="I66" t="e">
        <f>I65*(F65/F66)^0.25*EXP(0.5*N$1*(F66+F65))</f>
        <v>#NUM!</v>
      </c>
      <c r="J66">
        <f>H66^2</f>
        <v>1.52840542902220005</v>
      </c>
      <c r="K66">
        <f>(E66*H66/SQRT(J$2))^2</f>
        <v>0.538809864667257976</v>
      </c>
    </row>
    <row r="67" spans="1:11">
      <c r="A67">
        <f>A66+1</f>
        <v>63</v>
      </c>
      <c r="B67">
        <f>B$4+A67*N$1</f>
        <v>1.30000000000000004</v>
      </c>
      <c r="C67">
        <f>B67*B67</f>
        <v>1.68999999999999995</v>
      </c>
      <c r="D67">
        <f>2*B67</f>
        <v>2.60000000000000009</v>
      </c>
      <c r="E67">
        <f>2*N$2*(N$4-C67)</f>
        <v>0.856380699210200014</v>
      </c>
      <c r="F67" t="e">
        <f>SQRT(-E67)</f>
        <v>#NUM!</v>
      </c>
      <c r="G67" s="4" t="e">
        <f>ABS($N$2*D67/(-E67)^1.5)</f>
        <v>#NUM!</v>
      </c>
      <c r="H67">
        <f>H66*(2-N$1^2*E67)-H65</f>
        <v>-1.09938010833813005</v>
      </c>
      <c r="I67" t="e">
        <f>I66*(F66/F67)^0.25*EXP(0.5*N$1*(F67+F66))</f>
        <v>#NUM!</v>
      </c>
      <c r="J67">
        <f>H67^2</f>
        <v>1.20863662260955995</v>
      </c>
      <c r="K67">
        <f>(E67*H67/SQRT(J$2))^2</f>
        <v>0.16984910201644901</v>
      </c>
    </row>
    <row r="68" spans="1:11">
      <c r="A68">
        <f>A67+1</f>
        <v>64</v>
      </c>
      <c r="B68">
        <f>B$4+A68*N$1</f>
        <v>1.39999999999999991</v>
      </c>
      <c r="C68">
        <f>B68*B68</f>
        <v>1.95999999999999996</v>
      </c>
      <c r="D68">
        <f>2*B68</f>
        <v>2.79999999999999982</v>
      </c>
      <c r="E68">
        <f>2*N$2*(N$4-C68)</f>
        <v>0.316380699210200023</v>
      </c>
      <c r="F68" t="e">
        <f>SQRT(-E68)</f>
        <v>#NUM!</v>
      </c>
      <c r="G68" s="4" t="e">
        <f>ABS($N$2*D68/(-E68)^1.5)</f>
        <v>#NUM!</v>
      </c>
      <c r="H68">
        <f>H67*(2-N$1^2*E68)-H66</f>
        <v>-0.95899503766188996</v>
      </c>
      <c r="I68" t="e">
        <f>I67*(F67/F68)^0.25*EXP(0.5*N$1*(F68+F67))</f>
        <v>#NUM!</v>
      </c>
      <c r="J68">
        <f>H68^2</f>
        <v>0.919671482260129913</v>
      </c>
      <c r="K68">
        <f>(E68*H68/SQRT(J$2))^2</f>
        <v>0.0176395071565349992</v>
      </c>
    </row>
    <row r="69" spans="1:11">
      <c r="A69">
        <f>A68+1</f>
        <v>65</v>
      </c>
      <c r="B69">
        <f>B$4+A69*N$1</f>
        <v>1.5</v>
      </c>
      <c r="C69">
        <f>B69*B69</f>
        <v>2.25</v>
      </c>
      <c r="D69">
        <f>2*B69</f>
        <v>3</v>
      </c>
      <c r="E69">
        <f>2*N$2*(N$4-C69)</f>
        <v>-0.263619300789800004</v>
      </c>
      <c r="F69">
        <f>SQRT(-E69)</f>
        <v>0.513438702076304043</v>
      </c>
      <c r="G69" s="4">
        <f>ABS($N$2*D69/(-E69)^1.5)</f>
        <v>22.1643729396302014</v>
      </c>
      <c r="H69">
        <f>H68*(2-N$1^2*E69)-H67</f>
        <v>-0.821138062998550033</v>
      </c>
      <c r="I69" t="e">
        <f>I68*(F68/F69)^0.25*EXP(0.5*N$1*(F69+F68))</f>
        <v>#NUM!</v>
      </c>
      <c r="J69">
        <f>H69^2</f>
        <v>0.674267718505010993</v>
      </c>
      <c r="K69">
        <f>(E69*H69/SQRT(J$2))^2</f>
        <v>0.00897884634092299905</v>
      </c>
    </row>
    <row r="70" spans="1:11">
      <c r="A70">
        <f>A69+1</f>
        <v>66</v>
      </c>
      <c r="B70">
        <f>B$4+A70*N$1</f>
        <v>1.60000000000000009</v>
      </c>
      <c r="C70">
        <f>B70*B70</f>
        <v>2.56000000000000005</v>
      </c>
      <c r="D70">
        <f>2*B70</f>
        <v>3.20000000000000018</v>
      </c>
      <c r="E70">
        <f>2*N$2*(N$4-C70)</f>
        <v>-0.883619300789800022</v>
      </c>
      <c r="F70">
        <f>SQRT(-E70)</f>
        <v>0.940010266321490917</v>
      </c>
      <c r="G70" s="4">
        <f>ABS($N$2*D70/(-E70)^1.5)</f>
        <v>3.85258463292278019</v>
      </c>
      <c r="H70">
        <f>H69*(2-N$1^2*E70)-H68</f>
        <v>-0.690536822746000034</v>
      </c>
      <c r="I70" t="e">
        <f>I69*(F69/F70)^0.25*EXP(0.5*N$1*(F70+F69))</f>
        <v>#NUM!</v>
      </c>
      <c r="J70">
        <f>H70^2</f>
        <v>0.476841103568141023</v>
      </c>
      <c r="K70">
        <f>(E70*H70/SQRT(J$2))^2</f>
        <v>0.0713407770696029964</v>
      </c>
    </row>
    <row r="71" spans="1:11">
      <c r="A71">
        <f>A70+1</f>
        <v>67</v>
      </c>
      <c r="B71">
        <f>B$4+A71*N$1</f>
        <v>1.7</v>
      </c>
      <c r="C71">
        <f>B71*B71</f>
        <v>2.89000000000000021</v>
      </c>
      <c r="D71">
        <f>2*B71</f>
        <v>3.39999999999999991</v>
      </c>
      <c r="E71">
        <f>2*N$2*(N$4-C71)</f>
        <v>-1.54361930078979999</v>
      </c>
      <c r="F71">
        <f>SQRT(-E71)</f>
        <v>1.24242476665181001</v>
      </c>
      <c r="G71" s="4">
        <f>ABS($N$2*D71/(-E71)^1.5)</f>
        <v>1.77283622314203999</v>
      </c>
      <c r="H71">
        <f>H70*(2-N$1^2*E71)-H69</f>
        <v>-0.570594842168420069</v>
      </c>
      <c r="I71" t="e">
        <f>I70*(F70/F71)^0.25*EXP(0.5*N$1*(F71+F70))</f>
        <v>#NUM!</v>
      </c>
      <c r="J71">
        <f>H71^2</f>
        <v>0.325578473909204025</v>
      </c>
      <c r="K71">
        <f>(E71*H71/SQRT(J$2))^2</f>
        <v>0.148651688813304013</v>
      </c>
    </row>
    <row r="72" spans="1:11">
      <c r="A72">
        <f>A71+1</f>
        <v>68</v>
      </c>
      <c r="B72">
        <f>B$4+A72*N$1</f>
        <v>1.8</v>
      </c>
      <c r="C72">
        <f>B72*B72</f>
        <v>3.24000000000000021</v>
      </c>
      <c r="D72">
        <f>2*B72</f>
        <v>3.60000000000000009</v>
      </c>
      <c r="E72">
        <f>2*N$2*(N$4-C72)</f>
        <v>-2.24361930078979999</v>
      </c>
      <c r="F72">
        <f>SQRT(-E72)</f>
        <v>1.49787159022053995</v>
      </c>
      <c r="G72" s="4">
        <f>ABS($N$2*D72/(-E72)^1.5)</f>
        <v>1.07122019043252004</v>
      </c>
      <c r="H72">
        <f>H71*(2-N$1^2*E72)-H70</f>
        <v>-0.463454837599040026</v>
      </c>
      <c r="I72" t="e">
        <f>I71*(F71/F72)^0.25*EXP(0.5*N$1*(F72+F71))</f>
        <v>#NUM!</v>
      </c>
      <c r="J72">
        <f>H72^2</f>
        <v>0.214790386493953012</v>
      </c>
      <c r="K72">
        <f>(E72*H72/SQRT(J$2))^2</f>
        <v>0.207179575202897004</v>
      </c>
    </row>
    <row r="73" spans="1:11">
      <c r="A73">
        <f>A72+1</f>
        <v>69</v>
      </c>
      <c r="B73">
        <f>B$4+A73*N$1</f>
        <v>1.9</v>
      </c>
      <c r="C73">
        <f>B73*B73</f>
        <v>3.60999999999999988</v>
      </c>
      <c r="D73">
        <f>2*B73</f>
        <v>3.79999999999999982</v>
      </c>
      <c r="E73">
        <f>2*N$2*(N$4-C73)</f>
        <v>-2.9836193007898002</v>
      </c>
      <c r="F73">
        <f>SQRT(-E73)</f>
        <v>1.72731563438469005</v>
      </c>
      <c r="G73" s="4">
        <f>ABS($N$2*D73/(-E73)^1.5)</f>
        <v>0.737341171731977951</v>
      </c>
      <c r="H73">
        <f>H72*(2-N$1^2*E73)-H71</f>
        <v>-0.370142561014709992</v>
      </c>
      <c r="I73" t="e">
        <f>I72*(F72/F73)^0.25*EXP(0.5*N$1*(F73+F72))</f>
        <v>#NUM!</v>
      </c>
      <c r="J73">
        <f>H73^2</f>
        <v>0.137005515474527995</v>
      </c>
      <c r="K73">
        <f>(E73*H73/SQRT(J$2))^2</f>
        <v>0.233699956132893005</v>
      </c>
    </row>
    <row r="74" spans="1:11">
      <c r="A74">
        <f>A73+1</f>
        <v>70</v>
      </c>
      <c r="B74">
        <f>B$4+A74*N$1</f>
        <v>2</v>
      </c>
      <c r="C74">
        <f>B74*B74</f>
        <v>4</v>
      </c>
      <c r="D74">
        <f>2*B74</f>
        <v>4</v>
      </c>
      <c r="E74">
        <f>2*N$2*(N$4-C74)</f>
        <v>-3.7636193007898</v>
      </c>
      <c r="F74">
        <f>SQRT(-E74)</f>
        <v>1.94000497442397997</v>
      </c>
      <c r="G74" s="4">
        <f>ABS($N$2*D74/(-E74)^1.5)</f>
        <v>0.547837126567361032</v>
      </c>
      <c r="H74">
        <f>H73*(2-N$1^2*E74)-H72</f>
        <v>-0.290761041297167999</v>
      </c>
      <c r="I74" t="e">
        <f>I73*(F73/F74)^0.25*EXP(0.5*N$1*(F74+F73))</f>
        <v>#NUM!</v>
      </c>
      <c r="J74">
        <f>H74^2</f>
        <v>0.0845419831362129948</v>
      </c>
      <c r="K74">
        <f>(E74*H74/SQRT(J$2))^2</f>
        <v>0.229465589964582994</v>
      </c>
    </row>
    <row r="75" spans="1:11">
      <c r="A75">
        <f>A74+1</f>
        <v>71</v>
      </c>
      <c r="B75">
        <f>B$4+A75*N$1</f>
        <v>2.10000000000000009</v>
      </c>
      <c r="C75">
        <f>B75*B75</f>
        <v>4.41000000000000014</v>
      </c>
      <c r="D75">
        <f>2*B75</f>
        <v>4.20000000000000018</v>
      </c>
      <c r="E75">
        <f>2*N$2*(N$4-C75)</f>
        <v>-4.58361930078979984</v>
      </c>
      <c r="F75">
        <f>SQRT(-E75)</f>
        <v>2.14093888301133006</v>
      </c>
      <c r="G75" s="4">
        <f>ABS($N$2*D75/(-E75)^1.5)</f>
        <v>0.427992817832109029</v>
      </c>
      <c r="H75">
        <f>H74*(2-N$1^2*E75)-H73</f>
        <v>-0.224706900787700992</v>
      </c>
      <c r="I75" t="e">
        <f>I74*(F74/F75)^0.25*EXP(0.5*N$1*(F75+F74))</f>
        <v>#NUM!</v>
      </c>
      <c r="J75">
        <f>H75^2</f>
        <v>0.0504931912616140011</v>
      </c>
      <c r="K75">
        <f>(E75*H75/SQRT(J$2))^2</f>
        <v>0.203274856324423991</v>
      </c>
    </row>
    <row r="76" spans="1:11">
      <c r="A76">
        <f>A75+1</f>
        <v>72</v>
      </c>
      <c r="B76">
        <f>B$4+A76*N$1</f>
        <v>2.20000000000000018</v>
      </c>
      <c r="C76">
        <f>B76*B76</f>
        <v>4.83999999999999986</v>
      </c>
      <c r="D76">
        <f>2*B76</f>
        <v>4.40000000000000036</v>
      </c>
      <c r="E76">
        <f>2*N$2*(N$4-C76)</f>
        <v>-5.44361930078980016</v>
      </c>
      <c r="F76">
        <f>SQRT(-E76)</f>
        <v>2.33315651013595993</v>
      </c>
      <c r="G76" s="4">
        <f>ABS($N$2*D76/(-E76)^1.5)</f>
        <v>0.346434438992339011</v>
      </c>
      <c r="H76">
        <f>H75*(2-N$1^2*E76)-H74</f>
        <v>-0.170884948499720002</v>
      </c>
      <c r="I76" t="e">
        <f>I75*(F75/F76)^0.25*EXP(0.5*N$1*(F76+F75))</f>
        <v>#NUM!</v>
      </c>
      <c r="J76">
        <f>H76^2</f>
        <v>0.0292016656237519978</v>
      </c>
      <c r="K76">
        <f>(E76*H76/SQRT(J$2))^2</f>
        <v>0.165812351439645012</v>
      </c>
    </row>
    <row r="77" spans="1:11">
      <c r="A77">
        <f>A76+1</f>
        <v>73</v>
      </c>
      <c r="B77">
        <f>B$4+A77*N$1</f>
        <v>2.29999999999999982</v>
      </c>
      <c r="C77">
        <f>B77*B77</f>
        <v>5.29000000000000004</v>
      </c>
      <c r="D77">
        <f>2*B77</f>
        <v>4.59999999999999964</v>
      </c>
      <c r="E77">
        <f>2*N$2*(N$4-C77)</f>
        <v>-6.34361930078979963</v>
      </c>
      <c r="F77">
        <f>SQRT(-E77)</f>
        <v>2.51865426384603008</v>
      </c>
      <c r="G77" s="4">
        <f>ABS($N$2*D77/(-E77)^1.5)</f>
        <v>0.287906960084213015</v>
      </c>
      <c r="H77">
        <f>H76*(2-N$1^2*E77)-H75</f>
        <v>-0.127903286786912007</v>
      </c>
      <c r="I77" t="e">
        <f>I76*(F76/F77)^0.25*EXP(0.5*N$1*(F77+F76))</f>
        <v>#NUM!</v>
      </c>
      <c r="J77">
        <f>H77^2</f>
        <v>0.0163592507708949997</v>
      </c>
      <c r="K77">
        <f>(E77*H77/SQRT(J$2))^2</f>
        <v>0.126145393949165996</v>
      </c>
    </row>
    <row r="78" spans="1:11">
      <c r="A78">
        <f>A77+1</f>
        <v>74</v>
      </c>
      <c r="B78">
        <f>B$4+A78*N$1</f>
        <v>2.39999999999999991</v>
      </c>
      <c r="C78">
        <f>B78*B78</f>
        <v>5.75999999999999979</v>
      </c>
      <c r="D78">
        <f>2*B78</f>
        <v>4.79999999999999982</v>
      </c>
      <c r="E78">
        <f>2*N$2*(N$4-C78)</f>
        <v>-7.28361930078980002</v>
      </c>
      <c r="F78">
        <f>SQRT(-E78)</f>
        <v>2.69881813036555007</v>
      </c>
      <c r="G78" s="4">
        <f>ABS($N$2*D78/(-E78)^1.5)</f>
        <v>0.244185786060576993</v>
      </c>
      <c r="H78">
        <f>H77*(2-N$1^2*E78)-H76</f>
        <v>-0.0942376135568600048</v>
      </c>
      <c r="I78" t="e">
        <f>I77*(F77/F78)^0.25*EXP(0.5*N$1*(F78+F77))</f>
        <v>#NUM!</v>
      </c>
      <c r="J78">
        <f>H78^2</f>
        <v>0.00888072780889199898</v>
      </c>
      <c r="K78">
        <f>(E78*H78/SQRT(J$2))^2</f>
        <v>0.0902769336648469967</v>
      </c>
    </row>
    <row r="79" spans="1:11">
      <c r="A79">
        <f>A78+1</f>
        <v>75</v>
      </c>
      <c r="B79">
        <f>B$4+A79*N$1</f>
        <v>2.5</v>
      </c>
      <c r="C79">
        <f>B79*B79</f>
        <v>6.25</v>
      </c>
      <c r="D79">
        <f>2*B79</f>
        <v>5</v>
      </c>
      <c r="E79">
        <f>2*N$2*(N$4-C79)</f>
        <v>-8.26361930078980045</v>
      </c>
      <c r="F79">
        <f>SQRT(-E79)</f>
        <v>2.87465116158288012</v>
      </c>
      <c r="G79" s="4">
        <f>ABS($N$2*D79/(-E79)^1.5)</f>
        <v>0.210481801574684013</v>
      </c>
      <c r="H79">
        <f>H78*(2-N$1^2*E79)-H77</f>
        <v>-0.0683593779492970022</v>
      </c>
      <c r="I79" t="e">
        <f>I78*(F78/F79)^0.25*EXP(0.5*N$1*(F79+F78))</f>
        <v>#NUM!</v>
      </c>
      <c r="J79">
        <f>H79^2</f>
        <v>0.00467300455361499978</v>
      </c>
      <c r="K79">
        <f>(E79*H79/SQRT(J$2))^2</f>
        <v>0.0611463546505760114</v>
      </c>
    </row>
    <row r="80" spans="1:11">
      <c r="A80">
        <f>A79+1</f>
        <v>76</v>
      </c>
      <c r="B80">
        <f>B$4+A80*N$1</f>
        <v>2.60000000000000009</v>
      </c>
      <c r="C80">
        <f>B80*B80</f>
        <v>6.75999999999999979</v>
      </c>
      <c r="D80">
        <f>2*B80</f>
        <v>5.20000000000000018</v>
      </c>
      <c r="E80">
        <f>2*N$2*(N$4-C80)</f>
        <v>-9.28361930078980002</v>
      </c>
      <c r="F80">
        <f>SQRT(-E80)</f>
        <v>3.04690323128086993</v>
      </c>
      <c r="G80" s="4">
        <f>ABS($N$2*D80/(-E80)^1.5)</f>
        <v>0.18383464445704</v>
      </c>
      <c r="H80">
        <f>H79*(2-N$1^2*E80)-H78</f>
        <v>-0.048827366746934997</v>
      </c>
      <c r="I80" t="e">
        <f>I79*(F79/F80)^0.25*EXP(0.5*N$1*(F80+F79))</f>
        <v>#NUM!</v>
      </c>
      <c r="J80">
        <f>H80^2</f>
        <v>0.0023841117434400001</v>
      </c>
      <c r="K80">
        <f>(E80*H80/SQRT(J$2))^2</f>
        <v>0.039372683568449002</v>
      </c>
    </row>
    <row r="81" spans="1:11">
      <c r="A81">
        <f>A80+1</f>
        <v>77</v>
      </c>
      <c r="B81">
        <f>B$4+A81*N$1</f>
        <v>2.70000000000000018</v>
      </c>
      <c r="C81">
        <f>B81*B81</f>
        <v>7.29000000000000004</v>
      </c>
      <c r="D81">
        <f>2*B81</f>
        <v>5.40000000000000036</v>
      </c>
      <c r="E81">
        <f>2*N$2*(N$4-C81)</f>
        <v>-10.3436193007898005</v>
      </c>
      <c r="F81">
        <f>SQRT(-E81)</f>
        <v>3.21614976342672998</v>
      </c>
      <c r="G81" s="4">
        <f>ABS($N$2*D81/(-E81)^1.5)</f>
        <v>0.162324834229143011</v>
      </c>
      <c r="H81">
        <f>H80*(2-N$1^2*E81)-H79</f>
        <v>-0.0343458724754759981</v>
      </c>
      <c r="I81" t="e">
        <f>I80*(F80/F81)^0.25*EXP(0.5*N$1*(F81+F80))</f>
        <v>#NUM!</v>
      </c>
      <c r="J81">
        <f>H81^2</f>
        <v>0.00117963895610199998</v>
      </c>
      <c r="K81">
        <f>(E81*H81/SQRT(J$2))^2</f>
        <v>0.0241839884021069995</v>
      </c>
    </row>
    <row r="82" spans="1:11">
      <c r="A82">
        <f>A81+1</f>
        <v>78</v>
      </c>
      <c r="B82">
        <f>B$4+A82*N$1</f>
        <v>2.79999999999999982</v>
      </c>
      <c r="C82">
        <f>B82*B82</f>
        <v>7.83999999999999986</v>
      </c>
      <c r="D82">
        <f>2*B82</f>
        <v>5.59999999999999964</v>
      </c>
      <c r="E82">
        <f>2*N$2*(N$4-C82)</f>
        <v>-11.4436193007898002</v>
      </c>
      <c r="F82">
        <f>SQRT(-E82)</f>
        <v>3.38284189710216987</v>
      </c>
      <c r="G82" s="4">
        <f>ABS($N$2*D82/(-E82)^1.5)</f>
        <v>0.144658155995645998</v>
      </c>
      <c r="H82">
        <f>H81*(2-N$1^2*E82)-H80</f>
        <v>-0.0237947890956449992</v>
      </c>
      <c r="I82" t="e">
        <f>I81*(F81/F82)^0.25*EXP(0.5*N$1*(F82+F81))</f>
        <v>#NUM!</v>
      </c>
      <c r="J82">
        <f>H82^2</f>
        <v>0.000566191988106000021</v>
      </c>
      <c r="K82">
        <f>(E82*H82/SQRT(J$2))^2</f>
        <v>0.0142077166326240008</v>
      </c>
    </row>
    <row r="83" spans="1:11">
      <c r="A83">
        <f>A82+1</f>
        <v>79</v>
      </c>
      <c r="B83">
        <f>B$4+A83*N$1</f>
        <v>2.9</v>
      </c>
      <c r="C83">
        <f>B83*B83</f>
        <v>8.41000000000000014</v>
      </c>
      <c r="D83">
        <f>2*B83</f>
        <v>5.79999999999999982</v>
      </c>
      <c r="E83">
        <f>2*N$2*(N$4-C83)</f>
        <v>-12.5836193007898007</v>
      </c>
      <c r="F83">
        <f>SQRT(-E83)</f>
        <v>3.54733974983928002</v>
      </c>
      <c r="G83" s="4">
        <f>ABS($N$2*D83/(-E83)^1.5)</f>
        <v>0.129933051266595978</v>
      </c>
      <c r="H83">
        <f>H82*(2-N$1^2*E83)-H81</f>
        <v>-0.0162379513890359988</v>
      </c>
      <c r="I83" t="e">
        <f>I82*(F82/F83)^0.25*EXP(0.5*N$1*(F83+F82))</f>
        <v>#NUM!</v>
      </c>
      <c r="J83">
        <f>H83^2</f>
        <v>0.000263671065312999975</v>
      </c>
      <c r="K83">
        <f>(E83*H83/SQRT(J$2))^2</f>
        <v>0.00800032039061099987</v>
      </c>
    </row>
    <row r="84" spans="1:11">
      <c r="A84">
        <f>A83+1</f>
        <v>80</v>
      </c>
      <c r="B84">
        <f>B$4+A84*N$1</f>
        <v>3</v>
      </c>
      <c r="C84">
        <f>B84*B84</f>
        <v>9</v>
      </c>
      <c r="D84">
        <f>2*B84</f>
        <v>6</v>
      </c>
      <c r="E84">
        <f>2*N$2*(N$4-C84)</f>
        <v>-13.7636193007898004</v>
      </c>
      <c r="F84">
        <f>SQRT(-E84)</f>
        <v>3.70993521517421998</v>
      </c>
      <c r="G84" s="4">
        <f>ABS($N$2*D84/(-E84)^1.5)</f>
        <v>0.117503897760185994</v>
      </c>
      <c r="H84">
        <f>H83*(2-N$1^2*E84)-H82</f>
        <v>-0.0109160434938609985</v>
      </c>
      <c r="I84" t="e">
        <f>I83*(F83/F84)^0.25*EXP(0.5*N$1*(F84+F83))</f>
        <v>#NUM!</v>
      </c>
      <c r="J84">
        <f>H84^2</f>
        <v>0.000119160005559999993</v>
      </c>
      <c r="K84">
        <f>(E84*H84/SQRT(J$2))^2</f>
        <v>0.00432543292796600021</v>
      </c>
    </row>
    <row r="85" spans="1:11">
      <c r="A85">
        <f>A84+1</f>
        <v>81</v>
      </c>
      <c r="B85">
        <f>B$4+A85*N$1</f>
        <v>3.10000000000000009</v>
      </c>
      <c r="C85">
        <f>B85*B85</f>
        <v>9.60999999999999943</v>
      </c>
      <c r="D85">
        <f>2*B85</f>
        <v>6.20000000000000018</v>
      </c>
      <c r="E85">
        <f>2*N$2*(N$4-C85)</f>
        <v>-14.9836193007897993</v>
      </c>
      <c r="F85">
        <f>SQRT(-E85)</f>
        <v>3.87086802936883991</v>
      </c>
      <c r="G85" s="4">
        <f>ABS($N$2*D85/(-E85)^1.5)</f>
        <v>0.106897265142365994</v>
      </c>
      <c r="H85">
        <f>H84*(2-N$1^2*E85)-H83</f>
        <v>-0.00722975399851499922</v>
      </c>
      <c r="I85" t="e">
        <f>I84*(F84/F85)^0.25*EXP(0.5*N$1*(F85+F84))</f>
        <v>#NUM!</v>
      </c>
      <c r="J85">
        <f>H85^2</f>
        <v>0.0000522693428789999892</v>
      </c>
      <c r="K85">
        <f>(E85*H85/SQRT(J$2))^2</f>
        <v>0.00224861065616700007</v>
      </c>
    </row>
    <row r="86" spans="1:11">
      <c r="A86">
        <f>A85+1</f>
        <v>82</v>
      </c>
      <c r="B86">
        <f>B$4+A86*N$1</f>
        <v>3.20000000000000018</v>
      </c>
      <c r="C86">
        <f>B86*B86</f>
        <v>10.2400000000000002</v>
      </c>
      <c r="D86">
        <f>2*B86</f>
        <v>6.40000000000000036</v>
      </c>
      <c r="E86">
        <f>2*N$2*(N$4-C86)</f>
        <v>-16.2436193007897991</v>
      </c>
      <c r="F86">
        <f>SQRT(-E86)</f>
        <v>4.03033736811074039</v>
      </c>
      <c r="G86" s="4">
        <f>ABS($N$2*D86/(-E86)^1.5)</f>
        <v>0.0977587793807579963</v>
      </c>
      <c r="H86">
        <f>H85*(2-N$1^2*E86)-H84</f>
        <v>-0.00471783821907099998</v>
      </c>
      <c r="I86" t="e">
        <f>I85*(F85/F86)^0.25*EXP(0.5*N$1*(F86+F85))</f>
        <v>#NUM!</v>
      </c>
      <c r="J86">
        <f>H86^2</f>
        <v>0.0000222579974609999987</v>
      </c>
      <c r="K86">
        <f>(E86*H86/SQRT(J$2))^2</f>
        <v>0.00112534440864499996</v>
      </c>
    </row>
    <row r="87" spans="1:11">
      <c r="A87">
        <f>A86+1</f>
        <v>83</v>
      </c>
      <c r="B87">
        <f>B$4+A87*N$1</f>
        <v>3.29999999999999982</v>
      </c>
      <c r="C87">
        <f>B87*B87</f>
        <v>10.8900000000000006</v>
      </c>
      <c r="D87">
        <f>2*B87</f>
        <v>6.59999999999999964</v>
      </c>
      <c r="E87">
        <f>2*N$2*(N$4-C87)</f>
        <v>-17.5436193007897998</v>
      </c>
      <c r="F87">
        <f>SQRT(-E87)</f>
        <v>4.18851039162967975</v>
      </c>
      <c r="G87" s="4">
        <f>ABS($N$2*D87/(-E87)^1.5)</f>
        <v>0.0898183647121569884</v>
      </c>
      <c r="H87">
        <f>H86*(2-N$1^2*E87)-H85</f>
        <v>-0.00303360201600800039</v>
      </c>
      <c r="I87" t="e">
        <f>I86*(F86/F87)^0.25*EXP(0.5*N$1*(F87+F86))</f>
        <v>#NUM!</v>
      </c>
      <c r="J87">
        <f>H87^2</f>
        <v>9.202741191527799805E-06</v>
      </c>
      <c r="K87">
        <f>(E87*H87/SQRT(J$2))^2</f>
        <v>0.000542736914845999951</v>
      </c>
    </row>
    <row r="88" spans="1:11">
      <c r="A88">
        <f>A87+1</f>
        <v>84</v>
      </c>
      <c r="B88">
        <f>B$4+A88*N$1</f>
        <v>3.39999999999999991</v>
      </c>
      <c r="C88">
        <f>B88*B88</f>
        <v>11.5600000000000005</v>
      </c>
      <c r="D88">
        <f>2*B88</f>
        <v>6.79999999999999982</v>
      </c>
      <c r="E88">
        <f>2*N$2*(N$4-C88)</f>
        <v>-18.8836193007897997</v>
      </c>
      <c r="F88">
        <f>SQRT(-E88)</f>
        <v>4.34552865607738958</v>
      </c>
      <c r="G88" s="4">
        <f>ABS($N$2*D88/(-E88)^1.5)</f>
        <v>0.0828668934612220021</v>
      </c>
      <c r="H88">
        <f>H87*(2-N$1^2*E88)-H86</f>
        <v>-0.00192221966874900012</v>
      </c>
      <c r="I88" t="e">
        <f>I87*(F87/F88)^0.25*EXP(0.5*N$1*(F88+F87))</f>
        <v>#NUM!</v>
      </c>
      <c r="J88">
        <f>H88^2</f>
        <v>3.694928454925514854E-06</v>
      </c>
      <c r="K88">
        <f>(E88*H88/SQRT(J$2))^2</f>
        <v>0.000252470284980000015</v>
      </c>
    </row>
    <row r="89" spans="1:11">
      <c r="A89">
        <f>A88+1</f>
        <v>85</v>
      </c>
      <c r="B89">
        <f>B$4+A89*N$1</f>
        <v>3.5</v>
      </c>
      <c r="C89">
        <f>B89*B89</f>
        <v>12.25</v>
      </c>
      <c r="D89">
        <f>2*B89</f>
        <v>7</v>
      </c>
      <c r="E89">
        <f>2*N$2*(N$4-C89)</f>
        <v>-20.2636193007897987</v>
      </c>
      <c r="F89">
        <f>SQRT(-E89)</f>
        <v>4.50151300129077026</v>
      </c>
      <c r="G89" s="4">
        <f>ABS($N$2*D89/(-E89)^1.5)</f>
        <v>0.0767401269965950039</v>
      </c>
      <c r="H89">
        <f>H88*(2-N$1^2*E89)-H87</f>
        <v>-0.00120034859728999987</v>
      </c>
      <c r="I89" t="e">
        <f>I88*(F88/F89)^0.25*EXP(0.5*N$1*(F89+F88))</f>
        <v>#NUM!</v>
      </c>
      <c r="J89">
        <f>H89^2</f>
        <v>1.440836755016071032E-06</v>
      </c>
      <c r="K89">
        <f>(E89*H89/SQRT(J$2))^2</f>
        <v>0.000113365935937000017</v>
      </c>
    </row>
    <row r="90" spans="1:11">
      <c r="A90">
        <f>A89+1</f>
        <v>86</v>
      </c>
      <c r="B90">
        <f>B$4+A90*N$1</f>
        <v>3.60000000000000009</v>
      </c>
      <c r="C90">
        <f>B90*B90</f>
        <v>12.9600000000000009</v>
      </c>
      <c r="D90">
        <f>2*B90</f>
        <v>7.20000000000000018</v>
      </c>
      <c r="E90">
        <f>2*N$2*(N$4-C90)</f>
        <v>-21.6836193007898004</v>
      </c>
      <c r="F90">
        <f>SQRT(-E90)</f>
        <v>4.65656733021114988</v>
      </c>
      <c r="G90" s="4">
        <f>ABS($N$2*D90/(-E90)^1.5)</f>
        <v>0.0713074384573950049</v>
      </c>
      <c r="H90">
        <f>H89*(2-N$1^2*E90)-H88</f>
        <v>-0.000738756545949999932</v>
      </c>
      <c r="I90" t="e">
        <f>I89*(F89/F90)^0.25*EXP(0.5*N$1*(F90+F89))</f>
        <v>#NUM!</v>
      </c>
      <c r="J90">
        <f>H90^2</f>
        <v>5.457612341839744057E-07</v>
      </c>
      <c r="K90">
        <f>(E90*H90/SQRT(J$2))^2</f>
        <v>0.0000491699759349999965</v>
      </c>
    </row>
    <row r="91" spans="1:11">
      <c r="A91">
        <f>A90+1</f>
        <v>87</v>
      </c>
      <c r="B91">
        <f>B$4+A91*N$1</f>
        <v>3.70000000000000018</v>
      </c>
      <c r="C91">
        <f>B91*B91</f>
        <v>13.6899999999999995</v>
      </c>
      <c r="D91">
        <f>2*B91</f>
        <v>7.40000000000000036</v>
      </c>
      <c r="E91">
        <f>2*N$2*(N$4-C91)</f>
        <v>-23.1436193007898012</v>
      </c>
      <c r="F91">
        <f>SQRT(-E91)</f>
        <v>4.81078156860086992</v>
      </c>
      <c r="G91" s="4">
        <f>ABS($N$2*D91/(-E91)^1.5)</f>
        <v>0.0664637443747029977</v>
      </c>
      <c r="H91">
        <f>H90*(2-N$1^2*E91)-H89</f>
        <v>-0.000448139497164000034</v>
      </c>
      <c r="I91" t="e">
        <f>I90*(F90/F91)^0.25*EXP(0.5*N$1*(F91+F90))</f>
        <v>#NUM!</v>
      </c>
      <c r="J91">
        <f>H91^2</f>
        <v>2.008290089184027064E-07</v>
      </c>
      <c r="K91">
        <f>(E91*H91/SQRT(J$2))^2</f>
        <v>0.0000206121247700000021</v>
      </c>
    </row>
    <row r="92" spans="1:11">
      <c r="A92">
        <f>A91+1</f>
        <v>88</v>
      </c>
      <c r="B92">
        <f>B$4+A92*N$1</f>
        <v>3.79999999999999982</v>
      </c>
      <c r="C92">
        <f>B92*B92</f>
        <v>14.4399999999999995</v>
      </c>
      <c r="D92">
        <f>2*B92</f>
        <v>7.59999999999999964</v>
      </c>
      <c r="E92">
        <f>2*N$2*(N$4-C92)</f>
        <v>-24.6436193007898012</v>
      </c>
      <c r="F92">
        <f>SQRT(-E92)</f>
        <v>4.96423400947112992</v>
      </c>
      <c r="G92" s="4">
        <f>ABS($N$2*D92/(-E92)^1.5)</f>
        <v>0.0621236344596019929</v>
      </c>
      <c r="H92">
        <f>H91*(2-N$1^2*E92)-H90</f>
        <v>-0.000267960239995999938</v>
      </c>
      <c r="I92" t="e">
        <f>I91*(F91/F92)^0.25*EXP(0.5*N$1*(F92+F91))</f>
        <v>#NUM!</v>
      </c>
      <c r="J92">
        <f>H92^2</f>
        <v>7.180269021871391082E-08</v>
      </c>
      <c r="K92">
        <f>(E92*H92/SQRT(J$2))^2</f>
        <v>8.355711997710961022E-06</v>
      </c>
    </row>
    <row r="93" spans="1:11">
      <c r="A93">
        <f>A92+1</f>
        <v>89</v>
      </c>
      <c r="B93">
        <f>B$4+A93*N$1</f>
        <v>3.9</v>
      </c>
      <c r="C93">
        <f>B93*B93</f>
        <v>15.2100000000000009</v>
      </c>
      <c r="D93">
        <f>2*B93</f>
        <v>7.79999999999999982</v>
      </c>
      <c r="E93">
        <f>2*N$2*(N$4-C93)</f>
        <v>-26.1836193007898004</v>
      </c>
      <c r="F93">
        <f>SQRT(-E93)</f>
        <v>5.11699318944141002</v>
      </c>
      <c r="G93" s="4">
        <f>ABS($N$2*D93/(-E93)^1.5)</f>
        <v>0.0582170353847229904</v>
      </c>
      <c r="H93">
        <f>H92*(2-N$1^2*E93)-H91</f>
        <v>-0.000157942671945999997</v>
      </c>
      <c r="I93" t="e">
        <f>I92*(F92/F93)^0.25*EXP(0.5*N$1*(F93+F92))</f>
        <v>#NUM!</v>
      </c>
      <c r="J93">
        <f>H93^2</f>
        <v>2.494588762144178317E-08</v>
      </c>
      <c r="K93">
        <f>(E93*H93/SQRT(J$2))^2</f>
        <v>3.277118014586842056E-06</v>
      </c>
    </row>
    <row r="94" spans="1:11">
      <c r="A94">
        <f>A93+1</f>
        <v>90</v>
      </c>
      <c r="B94">
        <f>B$4+A94*N$1</f>
        <v>4</v>
      </c>
      <c r="C94">
        <f>B94*B94</f>
        <v>16</v>
      </c>
      <c r="D94">
        <f>2*B94</f>
        <v>8</v>
      </c>
      <c r="E94">
        <f>2*N$2*(N$4-C94)</f>
        <v>-27.7636193007897987</v>
      </c>
      <c r="F94">
        <f>SQRT(-E94)</f>
        <v>5.26911940468137985</v>
      </c>
      <c r="G94" s="4">
        <f>ABS($N$2*D94/(-E94)^1.5)</f>
        <v>0.0546859632168859999</v>
      </c>
      <c r="H94">
        <f>H93*(2-N$1^2*E94)-H92</f>
        <v>-0.0000917757060489999965</v>
      </c>
      <c r="I94" t="e">
        <f>I93*(F93/F94)^0.25*EXP(0.5*N$1*(F94+F93))</f>
        <v>#NUM!</v>
      </c>
      <c r="J94">
        <f>H94^2</f>
        <v>8.422780220792453391E-09</v>
      </c>
      <c r="K94">
        <f>(E94*H94/SQRT(J$2))^2</f>
        <v>1.244060193109611989E-06</v>
      </c>
    </row>
    <row r="95" spans="1:11">
      <c r="A95">
        <f>A94+1</f>
        <v>91</v>
      </c>
      <c r="B95">
        <f>B$4+A95*N$1</f>
        <v>4.09999999999999964</v>
      </c>
      <c r="C95">
        <f>B95*B95</f>
        <v>16.8099999999999987</v>
      </c>
      <c r="D95">
        <f>2*B95</f>
        <v>8.19999999999999929</v>
      </c>
      <c r="E95">
        <f>2*N$2*(N$4-C95)</f>
        <v>-29.3836193007897997</v>
      </c>
      <c r="F95">
        <f>SQRT(-E95)</f>
        <v>5.42066594624589015</v>
      </c>
      <c r="G95" s="4">
        <f>ABS($N$2*D95/(-E95)^1.5)</f>
        <v>0.0514820603675959987</v>
      </c>
      <c r="H95">
        <f>H94*(2-N$1^2*E95)-H93</f>
        <v>-0.000052575764227999997</v>
      </c>
      <c r="I95" t="e">
        <f>I94*(F94/F95)^0.25*EXP(0.5*N$1*(F95+F94))</f>
        <v>#NUM!</v>
      </c>
      <c r="J95">
        <f>H95^2</f>
        <v>2.764210984158244935E-09</v>
      </c>
      <c r="K95">
        <f>(E95*H95/SQRT(J$2))^2</f>
        <v>4.573150874453618111E-07</v>
      </c>
    </row>
    <row r="96" spans="1:11">
      <c r="A96">
        <f>A95+1</f>
        <v>92</v>
      </c>
      <c r="B96">
        <f>B$4+A96*N$1</f>
        <v>4.20000000000000018</v>
      </c>
      <c r="C96">
        <f>B96*B96</f>
        <v>17.6400000000000006</v>
      </c>
      <c r="D96">
        <f>2*B96</f>
        <v>8.40000000000000036</v>
      </c>
      <c r="E96">
        <f>2*N$2*(N$4-C96)</f>
        <v>-31.0436193007897998</v>
      </c>
      <c r="F96">
        <f>SQRT(-E96)</f>
        <v>5.57168011472210978</v>
      </c>
      <c r="G96" s="4">
        <f>ABS($N$2*D96/(-E96)^1.5)</f>
        <v>0.0485647058632200057</v>
      </c>
      <c r="H96">
        <f>H95*(2-N$1^2*E96)-H94</f>
        <v>-0.000029697242497999996</v>
      </c>
      <c r="I96" t="e">
        <f>I95*(F95/F96)^0.25*EXP(0.5*N$1*(F96+F95))</f>
        <v>#NUM!</v>
      </c>
      <c r="J96">
        <f>H96^2</f>
        <v>8.81926211985017209E-10</v>
      </c>
      <c r="K96">
        <f>(E96*H96/SQRT(J$2))^2</f>
        <v>1.628586057312250005E-07</v>
      </c>
    </row>
    <row r="97" spans="1:11">
      <c r="A97">
        <f>A96+1</f>
        <v>93</v>
      </c>
      <c r="B97">
        <f>B$4+A97*N$1</f>
        <v>4.29999999999999982</v>
      </c>
      <c r="C97">
        <f>B97*B97</f>
        <v>18.4899999999999984</v>
      </c>
      <c r="D97">
        <f>2*B97</f>
        <v>8.59999999999999964</v>
      </c>
      <c r="E97">
        <f>2*N$2*(N$4-C97)</f>
        <v>-32.7436193007898027</v>
      </c>
      <c r="F97">
        <f>SQRT(-E97)</f>
        <v>5.72220405969498991</v>
      </c>
      <c r="G97" s="4">
        <f>ABS($N$2*D97/(-E97)^1.5)</f>
        <v>0.0458995500119829991</v>
      </c>
      <c r="H97">
        <f>H96*(2-N$1^2*E97)-H95</f>
        <v>-0.0000165426727940000013</v>
      </c>
      <c r="I97" t="e">
        <f>I96*(F96/F97)^0.25*EXP(0.5*N$1*(F97+F96))</f>
        <v>#NUM!</v>
      </c>
      <c r="J97">
        <f>H97^2</f>
        <v>2.736600231693477905E-10</v>
      </c>
      <c r="K97">
        <f>(E97*H97/SQRT(J$2))^2</f>
        <v>5.622098988225896711E-08</v>
      </c>
    </row>
    <row r="98" spans="1:11">
      <c r="A98">
        <f>A97+1</f>
        <v>94</v>
      </c>
      <c r="B98">
        <f>B$4+A98*N$1</f>
        <v>4.40000000000000036</v>
      </c>
      <c r="C98">
        <f>B98*B98</f>
        <v>19.3599999999999994</v>
      </c>
      <c r="D98">
        <f>2*B98</f>
        <v>8.80000000000000071</v>
      </c>
      <c r="E98">
        <f>2*N$2*(N$4-C98)</f>
        <v>-34.4836193007897975</v>
      </c>
      <c r="F98">
        <f>SQRT(-E98)</f>
        <v>5.87227547895956992</v>
      </c>
      <c r="G98" s="4">
        <f>ABS($N$2*D98/(-E98)^1.5)</f>
        <v>0.0434573669699349985</v>
      </c>
      <c r="H98">
        <f>H97*(2-N$1^2*E98)-H96</f>
        <v>-9.092615397999998455E-06</v>
      </c>
      <c r="I98" t="e">
        <f>I97*(F97/F98)^0.25*EXP(0.5*N$1*(F98+F97))</f>
        <v>#NUM!</v>
      </c>
      <c r="J98">
        <f>H98^2</f>
        <v>8.267565477594666515E-11</v>
      </c>
      <c r="K98">
        <f>(E98*H98/SQRT(J$2))^2</f>
        <v>1.883809969017320023E-08</v>
      </c>
    </row>
    <row r="99" spans="1:11">
      <c r="A99">
        <f>A98+1</f>
        <v>95</v>
      </c>
      <c r="B99">
        <f>B$4+A99*N$1</f>
        <v>4.5</v>
      </c>
      <c r="C99">
        <f>B99*B99</f>
        <v>20.25</v>
      </c>
      <c r="D99">
        <f>2*B99</f>
        <v>9</v>
      </c>
      <c r="E99">
        <f>2*N$2*(N$4-C99)</f>
        <v>-36.2636193007897987</v>
      </c>
      <c r="F99">
        <f>SQRT(-E99)</f>
        <v>6.02192820455290967</v>
      </c>
      <c r="G99" s="4">
        <f>ABS($N$2*D99/(-E99)^1.5)</f>
        <v>0.0412131480524740024</v>
      </c>
      <c r="H99">
        <f>H98*(2-N$1^2*E99)-H97</f>
        <v>-4.939869433999998942E-06</v>
      </c>
      <c r="I99" t="e">
        <f>I98*(F98/F99)^0.25*EXP(0.5*N$1*(F99+F98))</f>
        <v>#NUM!</v>
      </c>
      <c r="J99">
        <f>H99^2</f>
        <v>2.44023100249674678E-11</v>
      </c>
      <c r="K99">
        <f>(E99*H99/SQRT(J$2))^2</f>
        <v>6.149035467493260978E-09</v>
      </c>
    </row>
    <row r="100" spans="1:11">
      <c r="A100">
        <f>A99+1</f>
        <v>96</v>
      </c>
      <c r="B100">
        <f>B$4+A100*N$1</f>
        <v>4.59999999999999964</v>
      </c>
      <c r="C100">
        <f>B100*B100</f>
        <v>21.1600000000000001</v>
      </c>
      <c r="D100">
        <f>2*B100</f>
        <v>9.19999999999999929</v>
      </c>
      <c r="E100">
        <f>2*N$2*(N$4-C100)</f>
        <v>-38.083619300789799</v>
      </c>
      <c r="F100">
        <f>SQRT(-E100)</f>
        <v>6.17119269677992044</v>
      </c>
      <c r="G100" s="4">
        <f>ABS($N$2*D100/(-E100)^1.5)</f>
        <v>0.0391453792218350038</v>
      </c>
      <c r="H100">
        <f>H99*(2-N$1^2*E100)-H98</f>
        <v>-2.668404539000001052E-06</v>
      </c>
      <c r="I100" t="e">
        <f>I99*(F99/F100)^0.25*EXP(0.5*N$1*(F100+F99))</f>
        <v>#NUM!</v>
      </c>
      <c r="J100">
        <f>H100^2</f>
        <v>7.120382783755807743E-12</v>
      </c>
      <c r="K100">
        <f>(E100*H100/SQRT(J$2))^2</f>
        <v>1.97885300947976917E-09</v>
      </c>
    </row>
    <row r="101" spans="1:11">
      <c r="A101">
        <f>A100+1</f>
        <v>97</v>
      </c>
      <c r="B101">
        <f>B$4+A101*N$1</f>
        <v>4.70000000000000018</v>
      </c>
      <c r="C101">
        <f>B101*B101</f>
        <v>22.0899999999999999</v>
      </c>
      <c r="D101">
        <f>2*B101</f>
        <v>9.40000000000000036</v>
      </c>
      <c r="E101">
        <f>2*N$2*(N$4-C101)</f>
        <v>-39.9436193007897984</v>
      </c>
      <c r="F101">
        <f>SQRT(-E101)</f>
        <v>6.32009646293392002</v>
      </c>
      <c r="G101" s="4">
        <f>ABS($N$2*D101/(-E101)^1.5)</f>
        <v>0.037235460808363996</v>
      </c>
      <c r="H101">
        <f>H100*(2-N$1^2*E101)-H99</f>
        <v>-1.462796994463164072E-06</v>
      </c>
      <c r="I101" t="e">
        <f>I100*(F100/F101)^0.25*EXP(0.5*N$1*(F101+F100))</f>
        <v>#NUM!</v>
      </c>
      <c r="J101">
        <f>H101^2</f>
        <v>2.139775047010465835E-12</v>
      </c>
      <c r="K101">
        <f>(E101*H101/SQRT(J$2))^2</f>
        <v>6.541791684190943089E-10</v>
      </c>
    </row>
    <row r="102" spans="1:11">
      <c r="A102">
        <f>A101+1</f>
        <v>98</v>
      </c>
      <c r="B102">
        <f>B$4+A102*N$1</f>
        <v>4.79999999999999982</v>
      </c>
      <c r="C102">
        <f>B102*B102</f>
        <v>23.0399999999999991</v>
      </c>
      <c r="D102">
        <f>2*B102</f>
        <v>9.59999999999999964</v>
      </c>
      <c r="E102">
        <f>2*N$2*(N$4-C102)</f>
        <v>-41.843619300789797</v>
      </c>
      <c r="F102">
        <f>SQRT(-E102)</f>
        <v>6.46866441398761971</v>
      </c>
      <c r="G102" s="4">
        <f>ABS($N$2*D102/(-E102)^1.5)</f>
        <v>0.0354672380444419932</v>
      </c>
      <c r="H102">
        <f>H101*(2-N$1^2*E102)-H100</f>
        <v>-8.692766554328918594E-07</v>
      </c>
      <c r="I102" t="e">
        <f>I101*(F101/F102)^0.25*EXP(0.5*N$1*(F102+F101))</f>
        <v>#NUM!</v>
      </c>
      <c r="J102">
        <f>H102^2</f>
        <v>7.55641903680594647E-13</v>
      </c>
      <c r="K102">
        <f>(E102*H102/SQRT(J$2))^2</f>
        <v>2.535176974799015785E-10</v>
      </c>
    </row>
    <row r="103" spans="1:11">
      <c r="A103">
        <f>A102+1</f>
        <v>99</v>
      </c>
      <c r="B103">
        <f>B$4+A103*N$1</f>
        <v>4.90000000000000036</v>
      </c>
      <c r="C103">
        <f>B103*B103</f>
        <v>24.0100000000000016</v>
      </c>
      <c r="D103">
        <f>2*B103</f>
        <v>9.80000000000000071</v>
      </c>
      <c r="E103">
        <f>2*N$2*(N$4-C103)</f>
        <v>-43.7836193007898018</v>
      </c>
      <c r="F103">
        <f>SQRT(-E103)</f>
        <v>6.61691916988486994</v>
      </c>
      <c r="G103" s="4">
        <f>ABS($N$2*D103/(-E103)^1.5)</f>
        <v>0.0338266186429310078</v>
      </c>
      <c r="H103">
        <f>H102*(2-N$1^2*E103)-H101</f>
        <v>-6.563570978879978827E-07</v>
      </c>
      <c r="I103" t="e">
        <f>I102*(F102/F103)^0.25*EXP(0.5*N$1*(F103+F102))</f>
        <v>#NUM!</v>
      </c>
      <c r="J103">
        <f>H103^2</f>
        <v>4.308046399479548346E-13</v>
      </c>
      <c r="K103">
        <f>(E103*H103/SQRT(J$2))^2</f>
        <v>1.582477173024567977E-10</v>
      </c>
    </row>
    <row r="104" spans="1:11">
      <c r="A104">
        <f>A103+1</f>
        <v>100</v>
      </c>
      <c r="B104">
        <f>B$4+A104*N$1</f>
        <v>5</v>
      </c>
      <c r="C104">
        <f>B104*B104</f>
        <v>25</v>
      </c>
      <c r="D104">
        <f>2*B104</f>
        <v>10</v>
      </c>
      <c r="E104">
        <f>2*N$2*(N$4-C104)</f>
        <v>-45.7636193007897987</v>
      </c>
      <c r="F104">
        <f>SQRT(-E104)</f>
        <v>6.76488132200335013</v>
      </c>
      <c r="G104" s="4">
        <f>ABS($N$2*D104/(-E104)^1.5)</f>
        <v>0.0323012592776540064</v>
      </c>
      <c r="H104">
        <f>H103*(2-N$1^2*E104)-H102</f>
        <v>-7.438103038742811256E-07</v>
      </c>
      <c r="I104" t="e">
        <f>I103*(F103/F104)^0.25*EXP(0.5*N$1*(F104+F103))</f>
        <v>#NUM!</v>
      </c>
      <c r="J104">
        <f>H104^2</f>
        <v>5.532537681495504263E-13</v>
      </c>
      <c r="K104">
        <f>(E104*H104/SQRT(J$2))^2</f>
        <v>2.220234633077070149E-10</v>
      </c>
    </row>
    <row r="105" spans="7:7">
      <c r="G105" s="4"/>
    </row>
    <row r="106" spans="7:7">
      <c r="G106" s="4"/>
    </row>
    <row r="107" spans="7:7">
      <c r="G107" s="4"/>
    </row>
    <row r="108" spans="7:7">
      <c r="G108" s="4"/>
    </row>
    <row r="109" spans="7:7">
      <c r="G109" s="4"/>
    </row>
    <row r="110" spans="7:7">
      <c r="G110" s="4"/>
    </row>
    <row r="111" spans="7:7">
      <c r="G111" s="4"/>
    </row>
    <row r="112" spans="7:7">
      <c r="G112" s="4"/>
    </row>
    <row r="113" spans="7:7">
      <c r="G113" s="4"/>
    </row>
    <row r="114" spans="7:7">
      <c r="G114" s="4"/>
    </row>
    <row r="115" spans="7:7">
      <c r="G115" s="4"/>
    </row>
    <row r="116" spans="7:7">
      <c r="G116" s="4"/>
    </row>
    <row r="117" spans="7:7">
      <c r="G117" s="4"/>
    </row>
    <row r="118" spans="7:7">
      <c r="G118" s="4"/>
    </row>
    <row r="119" spans="7:7">
      <c r="G119" s="4"/>
    </row>
    <row r="120" spans="7:7">
      <c r="G120" s="4"/>
    </row>
    <row r="121" spans="7:7">
      <c r="G121" s="4"/>
    </row>
    <row r="122" spans="7:7">
      <c r="G122" s="4"/>
    </row>
    <row r="123" spans="7:7">
      <c r="G123" s="4"/>
    </row>
    <row r="124" spans="7:7">
      <c r="G124" s="4"/>
    </row>
    <row r="125" spans="7:7">
      <c r="G125" s="4"/>
    </row>
    <row r="126" spans="7:7">
      <c r="G126" s="4"/>
    </row>
    <row r="127" spans="7:7">
      <c r="G127" s="4"/>
    </row>
    <row r="128" spans="7:7">
      <c r="G128" s="4"/>
    </row>
    <row r="129" spans="7:7">
      <c r="G129" s="4"/>
    </row>
    <row r="130" spans="7:7">
      <c r="G130" s="4"/>
    </row>
    <row r="131" spans="7:7">
      <c r="G131" s="4"/>
    </row>
    <row r="132" spans="7:7">
      <c r="G132" s="4"/>
    </row>
    <row r="133" spans="7:7">
      <c r="G133" s="4"/>
    </row>
    <row r="134" spans="7:7">
      <c r="G134" s="4"/>
    </row>
    <row r="135" spans="7:7">
      <c r="G135" s="4"/>
    </row>
    <row r="136" spans="7:7">
      <c r="G136" s="4"/>
    </row>
    <row r="137" spans="7:7">
      <c r="G137" s="4"/>
    </row>
    <row r="138" spans="7:7">
      <c r="G138" s="4"/>
    </row>
    <row r="139" spans="7:7">
      <c r="G139" s="4"/>
    </row>
    <row r="140" spans="7:7">
      <c r="G140" s="4"/>
    </row>
    <row r="141" spans="7:7">
      <c r="G141" s="4"/>
    </row>
    <row r="142" spans="7:7">
      <c r="G142" s="4"/>
    </row>
    <row r="143" spans="7:7">
      <c r="G143" s="4"/>
    </row>
    <row r="144" spans="7:7">
      <c r="G144" s="4"/>
    </row>
    <row r="145" spans="7:7">
      <c r="G145" s="4"/>
    </row>
    <row r="146" spans="7:7">
      <c r="G146" s="4"/>
    </row>
    <row r="147" spans="7:7">
      <c r="G147" s="4"/>
    </row>
    <row r="148" spans="7:7">
      <c r="G148" s="4"/>
    </row>
    <row r="149" spans="7:7">
      <c r="G149" s="4"/>
    </row>
    <row r="150" spans="7:7">
      <c r="G150" s="4"/>
    </row>
    <row r="151" spans="7:7">
      <c r="G151" s="4"/>
    </row>
    <row r="152" spans="7:7">
      <c r="G152" s="4"/>
    </row>
    <row r="153" spans="7:7">
      <c r="G153" s="4"/>
    </row>
    <row r="154" spans="7:7">
      <c r="G154" s="4"/>
    </row>
    <row r="155" spans="7:7">
      <c r="G155" s="4"/>
    </row>
    <row r="156" spans="7:7">
      <c r="G156" s="4"/>
    </row>
    <row r="157" spans="7:7">
      <c r="G157" s="4"/>
    </row>
    <row r="158" spans="7:7">
      <c r="G158" s="4"/>
    </row>
    <row r="159" spans="7:7">
      <c r="G159" s="4"/>
    </row>
    <row r="160" spans="7:7">
      <c r="G160" s="4"/>
    </row>
    <row r="161" spans="7:7">
      <c r="G161" s="4"/>
    </row>
    <row r="162" spans="7:7">
      <c r="G162" s="4"/>
    </row>
    <row r="163" spans="7:7">
      <c r="G163" s="4"/>
    </row>
    <row r="164" spans="7:7">
      <c r="G164" s="4"/>
    </row>
    <row r="165" spans="7:7">
      <c r="G165" s="4"/>
    </row>
    <row r="166" spans="7:7">
      <c r="G166" s="4"/>
    </row>
    <row r="167" spans="7:7">
      <c r="G167" s="4"/>
    </row>
    <row r="168" spans="7:7">
      <c r="G168" s="4"/>
    </row>
    <row r="169" spans="7:7">
      <c r="G169" s="4"/>
    </row>
    <row r="170" spans="7:7">
      <c r="G170" s="4"/>
    </row>
    <row r="171" spans="7:7">
      <c r="G171" s="4"/>
    </row>
    <row r="172" spans="7:7">
      <c r="G172" s="4"/>
    </row>
    <row r="173" spans="7:7">
      <c r="G173" s="4"/>
    </row>
    <row r="174" spans="7:7">
      <c r="G174" s="4"/>
    </row>
    <row r="175" spans="7:7">
      <c r="G175" s="4"/>
    </row>
    <row r="176" spans="7:7">
      <c r="G176" s="4"/>
    </row>
    <row r="177" spans="7:7">
      <c r="G177" s="4"/>
    </row>
    <row r="178" spans="7:7">
      <c r="G178" s="4"/>
    </row>
    <row r="179" spans="7:7">
      <c r="G179" s="4"/>
    </row>
    <row r="180" spans="7:7">
      <c r="G180" s="4"/>
    </row>
    <row r="181" spans="7:7">
      <c r="G181" s="4"/>
    </row>
    <row r="182" spans="7:7">
      <c r="G182" s="4"/>
    </row>
    <row r="183" spans="7:7">
      <c r="G183" s="4"/>
    </row>
    <row r="184" spans="7:7">
      <c r="G184" s="4"/>
    </row>
    <row r="185" spans="7:7">
      <c r="G185" s="4"/>
    </row>
    <row r="186" spans="7:7">
      <c r="G186" s="4"/>
    </row>
    <row r="187" spans="7:7">
      <c r="G187" s="4"/>
    </row>
    <row r="188" spans="7:7">
      <c r="G188" s="4"/>
    </row>
    <row r="189" spans="7:7">
      <c r="G189" s="4"/>
    </row>
    <row r="190" spans="7:7">
      <c r="G190" s="4"/>
    </row>
    <row r="191" spans="7:7">
      <c r="G191" s="4"/>
    </row>
    <row r="192" spans="7:7">
      <c r="G192" s="4"/>
    </row>
    <row r="193" spans="7:7">
      <c r="G193" s="4"/>
    </row>
    <row r="194" spans="7:7">
      <c r="G194" s="4"/>
    </row>
    <row r="195" spans="7:7">
      <c r="G195" s="4"/>
    </row>
    <row r="196" spans="7:7">
      <c r="G196" s="4"/>
    </row>
    <row r="197" spans="7:7">
      <c r="G197" s="4"/>
    </row>
    <row r="198" spans="7:7">
      <c r="G198" s="4"/>
    </row>
    <row r="199" spans="7:7">
      <c r="G199" s="4"/>
    </row>
    <row r="200" spans="7:7">
      <c r="G200" s="4"/>
    </row>
    <row r="201" spans="7:7">
      <c r="G201" s="4"/>
    </row>
    <row r="202" spans="7:7">
      <c r="G202" s="4"/>
    </row>
    <row r="203" spans="7:7">
      <c r="G203" s="4"/>
    </row>
    <row r="204" spans="7:7">
      <c r="G204" s="4"/>
    </row>
    <row r="205" spans="7:7">
      <c r="G205" s="4"/>
    </row>
    <row r="206" spans="7:7">
      <c r="G206" s="4"/>
    </row>
    <row r="207" spans="7:7">
      <c r="G207" s="4"/>
    </row>
    <row r="208" spans="7:7">
      <c r="G208" s="4"/>
    </row>
    <row r="209" spans="7:7">
      <c r="G209" s="4"/>
    </row>
    <row r="210" spans="7:7">
      <c r="G210" s="4"/>
    </row>
    <row r="211" spans="7:7">
      <c r="G211" s="4"/>
    </row>
    <row r="212" spans="7:7">
      <c r="G212" s="4"/>
    </row>
    <row r="213" spans="7:7">
      <c r="G213" s="4"/>
    </row>
    <row r="214" spans="7:7">
      <c r="G214" s="4"/>
    </row>
    <row r="215" spans="7:7">
      <c r="G215" s="4"/>
    </row>
    <row r="216" spans="7:7">
      <c r="G216" s="4"/>
    </row>
    <row r="217" spans="7:7">
      <c r="G217" s="4"/>
    </row>
    <row r="218" spans="7:7">
      <c r="G218" s="4"/>
    </row>
    <row r="219" spans="7:7">
      <c r="G219" s="4"/>
    </row>
    <row r="220" spans="7:7">
      <c r="G220" s="4"/>
    </row>
    <row r="221" spans="7:7">
      <c r="G221" s="4"/>
    </row>
    <row r="222" spans="7:7">
      <c r="G222" s="4"/>
    </row>
    <row r="223" spans="7:7">
      <c r="G223" s="4"/>
    </row>
    <row r="224" spans="7:7">
      <c r="G224" s="4"/>
    </row>
  </sheetData>
  <printOptions>
    <extLst>
      <ext uri="smNativeData">
        <pm:pageFlags xmlns:pm="smNativeData" id="177090336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0903363" l="56" r="56" t="56" b="56" borderId="0" fillId="0" vertical="0"/>
        <pm:footer xmlns:pm="smNativeData" id="1770903363" l="56" r="56" t="56" b="56" borderId="0" fillId="0" vertical="2"/>
        <pm:paperBin xmlns:pm="smNativeData" id="1770903363" Id="0" type="0" value="0"/>
        <pm:paperBin xmlns:pm="smNativeData" id="1770903363" Id="1" type="0" value="0"/>
      </ext>
    </extLst>
  </headerFooter>
  <drawing r:id="rId1"/>
  <extLst>
    <ext uri="smNativeData">
      <pm:sheetPrefs xmlns:pm="smNativeData" day="177090336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O85"/>
  <sheetViews>
    <sheetView view="normal" zoomScale="120" workbookViewId="0">
      <selection activeCell="E1" sqref="E1"/>
    </sheetView>
  </sheetViews>
  <sheetFormatPr defaultRowHeight="15.40"/>
  <cols>
    <col min="1" max="1" width="4.982143" customWidth="1"/>
    <col min="2" max="2" width="5.875000" customWidth="1"/>
    <col min="4" max="4" width="11.687500" customWidth="1"/>
    <col min="5" max="5" width="16.392857" customWidth="1"/>
    <col min="6" max="6" width="13.392857" customWidth="1"/>
    <col min="7" max="8" width="16.071429" customWidth="1"/>
    <col min="10" max="10" width="11.241071" customWidth="1"/>
    <col min="12" max="12" width="12.580357" customWidth="1"/>
    <col min="13" max="13" width="12.017857" customWidth="1"/>
    <col min="14" max="14" width="14.250000" customWidth="1"/>
    <col min="15" max="15" width="12.357143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4</v>
      </c>
      <c r="E1" s="2" t="s">
        <v>7</v>
      </c>
      <c r="F1" s="2" t="s">
        <v>8</v>
      </c>
      <c r="G1" s="2" t="s">
        <v>29</v>
      </c>
      <c r="H1" s="2"/>
      <c r="I1" s="10" t="s">
        <v>10</v>
      </c>
      <c r="J1" s="10" t="n">
        <v>0.1</v>
      </c>
      <c r="L1" s="13" t="s">
        <v>30</v>
      </c>
    </row>
    <row r="2" spans="1:15">
      <c r="A2" s="2"/>
      <c r="B2" s="2"/>
      <c r="C2" s="2"/>
      <c r="D2" s="2"/>
      <c r="E2" s="2" t="s">
        <v>12</v>
      </c>
      <c r="F2" s="2">
        <f>SUM(F5:F501)*$J1</f>
        <v>0.000176604471399000023</v>
      </c>
      <c r="G2" s="2">
        <f>SUM(G5:G501)*$J1</f>
        <v>7.48676016111805964</v>
      </c>
      <c r="H2" s="2"/>
      <c r="I2" s="10" t="s">
        <v>14</v>
      </c>
      <c r="J2" s="10" t="n">
        <v>1</v>
      </c>
      <c r="L2" t="s">
        <v>31</v>
      </c>
      <c r="M2" t="n">
        <v>2.11819040202684494</v>
      </c>
      <c r="O2" s="2"/>
    </row>
    <row r="3" spans="1:13">
      <c r="A3" s="2"/>
      <c r="B3" s="2"/>
      <c r="C3" s="2"/>
      <c r="D3" s="2"/>
      <c r="E3" s="2"/>
      <c r="F3" s="2"/>
      <c r="G3" s="2"/>
      <c r="H3" s="2"/>
      <c r="I3" s="10"/>
      <c r="J3" s="10"/>
      <c r="L3" t="s">
        <v>32</v>
      </c>
      <c r="M3" s="12">
        <f>M2-J5</f>
        <v>5.242174960784496514E-08</v>
      </c>
    </row>
    <row r="4" spans="1:13">
      <c r="A4" s="2"/>
      <c r="B4" s="2"/>
      <c r="C4" s="2"/>
      <c r="D4" s="2"/>
      <c r="E4" s="2"/>
      <c r="F4" s="2"/>
      <c r="G4" s="2"/>
      <c r="H4" s="2"/>
      <c r="I4" s="10"/>
      <c r="J4" s="10"/>
      <c r="M4" s="12"/>
    </row>
    <row r="5" spans="1:10">
      <c r="A5" t="n">
        <v>0</v>
      </c>
      <c r="B5">
        <f>-4</f>
        <v>-4</v>
      </c>
      <c r="C5">
        <f>B5*B5</f>
        <v>16</v>
      </c>
      <c r="D5" s="14">
        <f>2*J$2*(J$5-C5)</f>
        <v>-27.7636193007897987</v>
      </c>
      <c r="E5" s="15" t="n">
        <v>0</v>
      </c>
      <c r="F5">
        <f>E5^2</f>
        <v>0</v>
      </c>
      <c r="G5">
        <f>(D5*E5/SQRT(F$2))^2</f>
        <v>0</v>
      </c>
      <c r="I5" s="10" t="s">
        <v>16</v>
      </c>
      <c r="J5" s="11" t="n">
        <v>2.11819034960510022</v>
      </c>
    </row>
    <row r="6" spans="1:10">
      <c r="A6">
        <f>A5+1</f>
        <v>1</v>
      </c>
      <c r="B6">
        <f>B$5+A6*J$1</f>
        <v>-3.9</v>
      </c>
      <c r="C6">
        <f>B6*B6</f>
        <v>15.2100000000000009</v>
      </c>
      <c r="D6" s="14">
        <f>2*J$2*(J$5-C6)</f>
        <v>-26.1836193007898004</v>
      </c>
      <c r="E6" s="15">
        <f>1E-06</f>
        <v>9.999999999999999547E-07</v>
      </c>
      <c r="F6">
        <f>E6^2</f>
        <v>9.999999999999999799E-13</v>
      </c>
      <c r="G6">
        <f>(D6*E6/SQRT(F$2))^2</f>
        <v>3.88201903535593592E-06</v>
      </c>
      <c r="I6" s="10" t="s">
        <v>17</v>
      </c>
      <c r="J6" s="11">
        <f>SQRT(4.5)</f>
        <v>2.12132034355964016</v>
      </c>
    </row>
    <row r="7" spans="1:10">
      <c r="A7">
        <f>A6+1</f>
        <v>2</v>
      </c>
      <c r="B7">
        <f>B$5+A7*J$1</f>
        <v>-3.79999999999999982</v>
      </c>
      <c r="C7">
        <f>B7*B7</f>
        <v>14.4399999999999995</v>
      </c>
      <c r="D7" s="14">
        <f>2*J$2*(J$5-C7)</f>
        <v>-24.6436193007898012</v>
      </c>
      <c r="E7" s="12">
        <f>E6*(2-J$1^2*D6)-E5</f>
        <v>2.261836193007899843E-06</v>
      </c>
      <c r="F7">
        <f>E7^2</f>
        <v>5.115902964000469821E-12</v>
      </c>
      <c r="G7">
        <f>(D7*E7/SQRT(F$2))^2</f>
        <v>0.0000175925820600000016</v>
      </c>
      <c r="I7" s="10" t="s">
        <v>19</v>
      </c>
      <c r="J7" s="11">
        <f>J6-J5</f>
        <v>0.00312999395454000018</v>
      </c>
    </row>
    <row r="8" spans="1:10">
      <c r="A8">
        <f>A7+1</f>
        <v>3</v>
      </c>
      <c r="B8">
        <f>B$5+A8*J$1</f>
        <v>-3.70000000000000018</v>
      </c>
      <c r="C8">
        <f>B8*B8</f>
        <v>13.6899999999999995</v>
      </c>
      <c r="D8" s="14">
        <f>2*J$2*(J$5-C8)</f>
        <v>-23.1436193007898012</v>
      </c>
      <c r="E8" s="12">
        <f>E7*(2-J$1^2*D7)-E6</f>
        <v>4.081070686628148148E-06</v>
      </c>
      <c r="F8">
        <f>E8^2</f>
        <v>1.665513794925554076E-11</v>
      </c>
      <c r="G8">
        <f>(D8*E8/SQRT(F$2))^2</f>
        <v>0.0000505136897610000002</v>
      </c>
      <c r="I8" s="10" t="s">
        <v>26</v>
      </c>
      <c r="J8" s="11">
        <f>G2*J1^2/(24*J2)</f>
        <v>0.0031194834004659997</v>
      </c>
    </row>
    <row r="9" spans="1:7">
      <c r="A9">
        <f>A8+1</f>
        <v>4</v>
      </c>
      <c r="B9">
        <f>B$5+A9*J$1</f>
        <v>-3.60000000000000009</v>
      </c>
      <c r="C9">
        <f>B9*B9</f>
        <v>12.9600000000000009</v>
      </c>
      <c r="D9" s="14">
        <f>2*J$2*(J$5-C9)</f>
        <v>-21.6836193007898004</v>
      </c>
      <c r="E9" s="12">
        <f>E8*(2-J$1^2*D8)-E7</f>
        <v>6.844812643357750616E-06</v>
      </c>
      <c r="F9">
        <f>E9^2</f>
        <v>4.685146012267011701E-11</v>
      </c>
      <c r="G9">
        <f>(D9*E9/SQRT(F$2))^2</f>
        <v>0.000124734038182999973</v>
      </c>
    </row>
    <row r="10" spans="1:7">
      <c r="A10">
        <f>A9+1</f>
        <v>5</v>
      </c>
      <c r="B10">
        <f>B$5+A10*J$1</f>
        <v>-3.5</v>
      </c>
      <c r="C10">
        <f>B10*B10</f>
        <v>12.25</v>
      </c>
      <c r="D10" s="14">
        <f>2*J$2*(J$5-C10)</f>
        <v>-20.2636193007897987</v>
      </c>
      <c r="E10" s="12">
        <f>E9*(2-J$1^2*D9)-E8</f>
        <v>0.000011092757714999999</v>
      </c>
      <c r="F10">
        <f>E10^2</f>
        <v>1.230492737236920119E-10</v>
      </c>
      <c r="G10">
        <f>(D10*E10/SQRT(F$2))^2</f>
        <v>0.000286095742397999953</v>
      </c>
    </row>
    <row r="11" spans="1:7">
      <c r="A11">
        <f>A10+1</f>
        <v>6</v>
      </c>
      <c r="B11">
        <f>B$5+A11*J$1</f>
        <v>-3.39999999999999991</v>
      </c>
      <c r="C11">
        <f>B11*B11</f>
        <v>11.5600000000000005</v>
      </c>
      <c r="D11" s="14">
        <f>2*J$2*(J$5-C11)</f>
        <v>-18.8836193007897997</v>
      </c>
      <c r="E11" s="12">
        <f>E10*(2-J$1^2*D10)-E9</f>
        <v>0.0000175884969800000039</v>
      </c>
      <c r="F11">
        <f>E11^2</f>
        <v>3.093552260154691843E-10</v>
      </c>
      <c r="G11">
        <f>(D11*E11/SQRT(F$2))^2</f>
        <v>0.000624634883952000042</v>
      </c>
    </row>
    <row r="12" spans="1:7">
      <c r="A12">
        <f>A11+1</f>
        <v>7</v>
      </c>
      <c r="B12">
        <f>B$5+A12*J$1</f>
        <v>-3.29999999999999982</v>
      </c>
      <c r="C12">
        <f>B12*B12</f>
        <v>10.8900000000000006</v>
      </c>
      <c r="D12" s="14">
        <f>2*J$2*(J$5-C12)</f>
        <v>-17.5436193007897998</v>
      </c>
      <c r="E12" s="12">
        <f>E11*(2-J$1^2*D11)-E10</f>
        <v>0.000027405581054999999</v>
      </c>
      <c r="F12">
        <f>E12^2</f>
        <v>7.51065872962174801E-10</v>
      </c>
      <c r="G12">
        <f>(D12*E12/SQRT(F$2))^2</f>
        <v>0.00130892487977199989</v>
      </c>
    </row>
    <row r="13" spans="1:7">
      <c r="A13">
        <f>A12+1</f>
        <v>8</v>
      </c>
      <c r="B13">
        <f>B$5+A13*J$1</f>
        <v>-3.20000000000000018</v>
      </c>
      <c r="C13">
        <f>B13*B13</f>
        <v>10.2400000000000002</v>
      </c>
      <c r="D13" s="14">
        <f>2*J$2*(J$5-C13)</f>
        <v>-16.2436193007897991</v>
      </c>
      <c r="E13" s="12">
        <f>E12*(2-J$1^2*D12)-E11</f>
        <v>0.0000420305959370000082</v>
      </c>
      <c r="F13">
        <f>E13^2</f>
        <v>1.766570994819360937E-09</v>
      </c>
      <c r="G13">
        <f>(D13*E13/SQRT(F$2))^2</f>
        <v>0.00263933796755099959</v>
      </c>
    </row>
    <row r="14" spans="1:7">
      <c r="A14">
        <f>A13+1</f>
        <v>9</v>
      </c>
      <c r="B14">
        <f>B$5+A14*J$1</f>
        <v>-3.10000000000000009</v>
      </c>
      <c r="C14">
        <f>B14*B14</f>
        <v>9.60999999999999943</v>
      </c>
      <c r="D14" s="14">
        <f>2*J$2*(J$5-C14)</f>
        <v>-14.9836193007897993</v>
      </c>
      <c r="E14" s="12">
        <f>E13*(2-J$1^2*D13)-E12</f>
        <v>0.0000634829008130000005</v>
      </c>
      <c r="F14">
        <f>E14^2</f>
        <v>4.030078695633195884E-09</v>
      </c>
      <c r="G14">
        <f>(D14*E14/SQRT(F$2))^2</f>
        <v>0.00512324696834300042</v>
      </c>
    </row>
    <row r="15" spans="1:7">
      <c r="A15">
        <f>A14+1</f>
        <v>10</v>
      </c>
      <c r="B15">
        <f>B$5+A15*J$1</f>
        <v>-3</v>
      </c>
      <c r="C15">
        <f>B15*B15</f>
        <v>9</v>
      </c>
      <c r="D15" s="14">
        <f>2*J$2*(J$5-C15)</f>
        <v>-13.7636193007898004</v>
      </c>
      <c r="E15" s="12">
        <f>E14*(2-J$1^2*D14)-E13</f>
        <v>0.0000944472418680000025</v>
      </c>
      <c r="F15">
        <f>E15^2</f>
        <v>8.920281496472493442E-09</v>
      </c>
      <c r="G15">
        <f>(D15*E15/SQRT(F$2))^2</f>
        <v>0.00956846268690400059</v>
      </c>
    </row>
    <row r="16" spans="1:7">
      <c r="A16">
        <f>A15+1</f>
        <v>11</v>
      </c>
      <c r="B16">
        <f>B$5+A16*J$1</f>
        <v>-2.9</v>
      </c>
      <c r="C16">
        <f>B16*B16</f>
        <v>8.41000000000000014</v>
      </c>
      <c r="D16" s="14">
        <f>2*J$2*(J$5-C16)</f>
        <v>-12.5836193007898007</v>
      </c>
      <c r="E16" s="12">
        <f>E15*(2-J$1^2*D15)-E14</f>
        <v>0.000138410941733999993</v>
      </c>
      <c r="F16">
        <f>E16^2</f>
        <v>1.915758879169274075E-08</v>
      </c>
      <c r="G16">
        <f>(D16*E16/SQRT(F$2))^2</f>
        <v>0.017177117785360001</v>
      </c>
    </row>
    <row r="17" spans="1:7">
      <c r="A17">
        <f>A16+1</f>
        <v>12</v>
      </c>
      <c r="B17">
        <f>B$5+A17*J$1</f>
        <v>-2.79999999999999982</v>
      </c>
      <c r="C17">
        <f>B17*B17</f>
        <v>7.83999999999999986</v>
      </c>
      <c r="D17" s="14">
        <f>2*J$2*(J$5-C17)</f>
        <v>-11.4436193007898002</v>
      </c>
      <c r="E17" s="12">
        <f>E16*(2-J$1^2*D16)-E15</f>
        <v>0.000199791747577999992</v>
      </c>
      <c r="F17">
        <f>E17^2</f>
        <v>3.99167424002712722E-08</v>
      </c>
      <c r="G17">
        <f>(D17*E17/SQRT(F$2))^2</f>
        <v>0.029599215406173002</v>
      </c>
    </row>
    <row r="18" spans="1:7">
      <c r="A18">
        <f>A17+1</f>
        <v>13</v>
      </c>
      <c r="B18">
        <f>B$5+A18*J$1</f>
        <v>-2.70000000000000018</v>
      </c>
      <c r="C18">
        <f>B18*B18</f>
        <v>7.29000000000000004</v>
      </c>
      <c r="D18" s="14">
        <f>2*J$2*(J$5-C18)</f>
        <v>-10.3436193007898005</v>
      </c>
      <c r="E18" s="12">
        <f>E17*(2-J$1^2*D17)-E16</f>
        <v>0.000284035960409000054</v>
      </c>
      <c r="F18">
        <f>E18^2</f>
        <v>8.067642680546304254E-08</v>
      </c>
      <c r="G18">
        <f>(D18*E18/SQRT(F$2))^2</f>
        <v>0.0488753651933719979</v>
      </c>
    </row>
    <row r="19" spans="1:7">
      <c r="A19">
        <f>A18+1</f>
        <v>14</v>
      </c>
      <c r="B19">
        <f>B$5+A19*J$1</f>
        <v>-2.60000000000000009</v>
      </c>
      <c r="C19">
        <f>B19*B19</f>
        <v>6.75999999999999979</v>
      </c>
      <c r="D19" s="14">
        <f>2*J$2*(J$5-C19)</f>
        <v>-9.28361930078980002</v>
      </c>
      <c r="E19" s="12">
        <f>E18*(2-J$1^2*D18)-E17</f>
        <v>0.000397659771661999972</v>
      </c>
      <c r="F19">
        <f>E19^2</f>
        <v>1.581332939982739967E-07</v>
      </c>
      <c r="G19">
        <f>(D19*E19/SQRT(F$2))^2</f>
        <v>0.0771713802625690004</v>
      </c>
    </row>
    <row r="20" spans="1:7">
      <c r="A20">
        <f>A19+1</f>
        <v>15</v>
      </c>
      <c r="B20">
        <f>B$5+A20*J$1</f>
        <v>-2.5</v>
      </c>
      <c r="C20">
        <f>B20*B20</f>
        <v>6.25</v>
      </c>
      <c r="D20" s="14">
        <f>2*J$2*(J$5-C20)</f>
        <v>-8.26361930078980045</v>
      </c>
      <c r="E20" s="12">
        <f>E19*(2-J$1^2*D19)-E18</f>
        <v>0.000548200802227999962</v>
      </c>
      <c r="F20">
        <f>E20^2</f>
        <v>3.005241195634227119E-07</v>
      </c>
      <c r="G20">
        <f>(D20*E20/SQRT(F$2))^2</f>
        <v>0.116203240984177003</v>
      </c>
    </row>
    <row r="21" spans="1:7">
      <c r="A21">
        <f>A20+1</f>
        <v>16</v>
      </c>
      <c r="B21">
        <f>B$5+A21*J$1</f>
        <v>-2.39999999999999991</v>
      </c>
      <c r="C21">
        <f>B21*B21</f>
        <v>5.75999999999999979</v>
      </c>
      <c r="D21" s="14">
        <f>2*J$2*(J$5-C21)</f>
        <v>-7.28361930078980002</v>
      </c>
      <c r="E21" s="12">
        <f>E20*(2-J$1^2*D20)-E19</f>
        <v>0.000744043060094000008</v>
      </c>
      <c r="F21">
        <f>E21^2</f>
        <v>5.536000752740436811E-07</v>
      </c>
      <c r="G21">
        <f>(D21*E21/SQRT(F$2))^2</f>
        <v>0.166298725748572984</v>
      </c>
    </row>
    <row r="22" spans="1:7">
      <c r="A22">
        <f>A21+1</f>
        <v>17</v>
      </c>
      <c r="B22">
        <f>B$5+A22*J$1</f>
        <v>-2.29999999999999982</v>
      </c>
      <c r="C22">
        <f>B22*B22</f>
        <v>5.29000000000000004</v>
      </c>
      <c r="D22" s="14">
        <f>2*J$2*(J$5-C22)</f>
        <v>-6.34361930078979963</v>
      </c>
      <c r="E22" s="12">
        <f>E21*(2-J$1^2*D21)-E20</f>
        <v>0.000994078581891000113</v>
      </c>
      <c r="F22">
        <f>E22^2</f>
        <v>9.881922269744214993E-07</v>
      </c>
      <c r="G22">
        <f>(D22*E22/SQRT(F$2))^2</f>
        <v>0.225171780483547002</v>
      </c>
    </row>
    <row r="23" spans="1:7">
      <c r="A23">
        <f>A22+1</f>
        <v>18</v>
      </c>
      <c r="B23">
        <f>B$5+A23*J$1</f>
        <v>-2.20000000000000018</v>
      </c>
      <c r="C23">
        <f>B23*B23</f>
        <v>4.83999999999999986</v>
      </c>
      <c r="D23" s="14">
        <f>2*J$2*(J$5-C23)</f>
        <v>-5.44361930078980016</v>
      </c>
      <c r="E23" s="12">
        <f>E22*(2-J$1^2*D22)-E21</f>
        <v>0.0013071746644740001</v>
      </c>
      <c r="F23">
        <f>E23^2</f>
        <v>1.708705603442715048E-06</v>
      </c>
      <c r="G23">
        <f>(D23*E23/SQRT(F$2))^2</f>
        <v>0.286708810509949998</v>
      </c>
    </row>
    <row r="24" spans="1:7">
      <c r="A24">
        <f>A23+1</f>
        <v>19</v>
      </c>
      <c r="B24">
        <f>B$5+A24*J$1</f>
        <v>-2.10000000000000009</v>
      </c>
      <c r="C24">
        <f>B24*B24</f>
        <v>4.41000000000000014</v>
      </c>
      <c r="D24" s="14">
        <f>2*J$2*(J$5-C24)</f>
        <v>-4.58361930078979984</v>
      </c>
      <c r="E24" s="12">
        <f>E23*(2-J$1^2*D23)-E22</f>
        <v>0.00169142835938699987</v>
      </c>
      <c r="F24">
        <f>E24^2</f>
        <v>2.860929894938597866E-06</v>
      </c>
      <c r="G24">
        <f>(D24*E24/SQRT(F$2))^2</f>
        <v>0.340347527281203988</v>
      </c>
    </row>
    <row r="25" spans="1:7">
      <c r="A25">
        <f>A24+1</f>
        <v>20</v>
      </c>
      <c r="B25">
        <f>B$5+A25*J$1</f>
        <v>-2</v>
      </c>
      <c r="C25">
        <f>B25*B25</f>
        <v>4</v>
      </c>
      <c r="D25" s="14">
        <f>2*J$2*(J$5-C25)</f>
        <v>-3.7636193007898</v>
      </c>
      <c r="E25" s="12">
        <f>E24*(2-J$1^2*D24)-E23</f>
        <v>0.00215321069103999996</v>
      </c>
      <c r="F25">
        <f>E25^2</f>
        <v>4.636316280008955421E-06</v>
      </c>
      <c r="G25">
        <f>(D25*E25/SQRT(F$2))^2</f>
        <v>0.371862799004778966</v>
      </c>
    </row>
    <row r="26" spans="1:7">
      <c r="A26">
        <f>A25+1</f>
        <v>21</v>
      </c>
      <c r="B26">
        <f>B$5+A26*J$1</f>
        <v>-1.9</v>
      </c>
      <c r="C26">
        <f>B26*B26</f>
        <v>3.60999999999999988</v>
      </c>
      <c r="D26" s="14">
        <f>2*J$2*(J$5-C26)</f>
        <v>-2.9836193007898002</v>
      </c>
      <c r="E26" s="12">
        <f>E25*(2-J$1^2*D25)-E24</f>
        <v>0.0026960316758480003</v>
      </c>
      <c r="F26">
        <f>E26^2</f>
        <v>7.268586797175775881E-06</v>
      </c>
      <c r="G26">
        <f>(D26*E26/SQRT(F$2))^2</f>
        <v>0.366382820425116984</v>
      </c>
    </row>
    <row r="27" spans="1:7">
      <c r="A27">
        <f>A26+1</f>
        <v>22</v>
      </c>
      <c r="B27">
        <f>B$5+A27*J$1</f>
        <v>-1.8</v>
      </c>
      <c r="C27">
        <f>B27*B27</f>
        <v>3.24000000000000021</v>
      </c>
      <c r="D27" s="14">
        <f>2*J$2*(J$5-C27)</f>
        <v>-2.24361930078979999</v>
      </c>
      <c r="E27" s="12">
        <f>E26*(2-J$1^2*D26)-E25</f>
        <v>0.00331929198209199949</v>
      </c>
      <c r="F27">
        <f>E27^2</f>
        <v>0.0000110176992620000003</v>
      </c>
      <c r="G27">
        <f>(D27*E27/SQRT(F$2))^2</f>
        <v>0.314041868992157003</v>
      </c>
    </row>
    <row r="28" spans="1:7">
      <c r="A28">
        <f>A27+1</f>
        <v>23</v>
      </c>
      <c r="B28">
        <f>B$5+A28*J$1</f>
        <v>-1.7</v>
      </c>
      <c r="C28">
        <f>B28*B28</f>
        <v>2.89000000000000021</v>
      </c>
      <c r="D28" s="14">
        <f>2*J$2*(J$5-C28)</f>
        <v>-1.54361930078979999</v>
      </c>
      <c r="E28" s="12">
        <f>E27*(2-J$1^2*D27)-E26</f>
        <v>0.00401702456389600027</v>
      </c>
      <c r="F28">
        <f>E28^2</f>
        <v>0.0000161364863469999964</v>
      </c>
      <c r="G28">
        <f>(D28*E28/SQRT(F$2))^2</f>
        <v>0.217714663226169991</v>
      </c>
    </row>
    <row r="29" spans="1:7">
      <c r="A29">
        <f>A28+1</f>
        <v>24</v>
      </c>
      <c r="B29">
        <f>B$5+A29*J$1</f>
        <v>-1.60000000000000009</v>
      </c>
      <c r="C29">
        <f>B29*B29</f>
        <v>2.56000000000000005</v>
      </c>
      <c r="D29" s="14">
        <f>2*J$2*(J$5-C29)</f>
        <v>-0.883619300789800022</v>
      </c>
      <c r="E29" s="12">
        <f>E28*(2-J$1^2*D28)-E27</f>
        <v>0.00477676471218599996</v>
      </c>
      <c r="F29">
        <f>E29^2</f>
        <v>0.0000228174811160000024</v>
      </c>
      <c r="G29">
        <f>(D29*E29/SQRT(F$2))^2</f>
        <v>0.100877983354241008</v>
      </c>
    </row>
    <row r="30" spans="1:7">
      <c r="A30">
        <f>A29+1</f>
        <v>25</v>
      </c>
      <c r="B30">
        <f>B$5+A30*J$1</f>
        <v>-1.5</v>
      </c>
      <c r="C30">
        <f>B30*B30</f>
        <v>2.25</v>
      </c>
      <c r="D30" s="14">
        <f>2*J$2*(J$5-C30)</f>
        <v>-0.263619300789800004</v>
      </c>
      <c r="E30" s="12">
        <f>E29*(2-J$1^2*D29)-E28</f>
        <v>0.00557871327542599893</v>
      </c>
      <c r="F30">
        <f>E30^2</f>
        <v>0.0000311220418090000006</v>
      </c>
      <c r="G30">
        <f>(D30*E30/SQRT(F$2))^2</f>
        <v>0.0122467483591790005</v>
      </c>
    </row>
    <row r="31" spans="1:7">
      <c r="A31">
        <f>A30+1</f>
        <v>26</v>
      </c>
      <c r="B31">
        <f>B$5+A31*J$1</f>
        <v>-1.39999999999999991</v>
      </c>
      <c r="C31">
        <f>B31*B31</f>
        <v>1.95999999999999996</v>
      </c>
      <c r="D31" s="14">
        <f>2*J$2*(J$5-C31)</f>
        <v>0.316380699210200023</v>
      </c>
      <c r="E31" s="12">
        <f>E30*(2-J$1^2*D30)-E29</f>
        <v>0.00639536840359600056</v>
      </c>
      <c r="F31">
        <f>E31^2</f>
        <v>0.0000409007370179999974</v>
      </c>
      <c r="G31">
        <f>(D31*E31/SQRT(F$2))^2</f>
        <v>0.0231819199485979999</v>
      </c>
    </row>
    <row r="32" spans="1:7">
      <c r="A32">
        <f>A31+1</f>
        <v>27</v>
      </c>
      <c r="B32">
        <f>B$5+A32*J$1</f>
        <v>-1.30000000000000004</v>
      </c>
      <c r="C32">
        <f>B32*B32</f>
        <v>1.68999999999999995</v>
      </c>
      <c r="D32" s="14">
        <f>2*J$2*(J$5-C32)</f>
        <v>0.856380699210200014</v>
      </c>
      <c r="E32" s="12">
        <f>E31*(2-J$1^2*D31)-E30</f>
        <v>0.00719178982049399895</v>
      </c>
      <c r="F32">
        <f>E32^2</f>
        <v>0.0000517218408219999937</v>
      </c>
      <c r="G32">
        <f>(D32*E32/SQRT(F$2))^2</f>
        <v>0.214786024536080022</v>
      </c>
    </row>
    <row r="33" spans="1:7">
      <c r="A33">
        <f>A32+1</f>
        <v>28</v>
      </c>
      <c r="B33">
        <f>B$5+A33*J$1</f>
        <v>-1.19999999999999996</v>
      </c>
      <c r="C33">
        <f>B33*B33</f>
        <v>1.43999999999999995</v>
      </c>
      <c r="D33" s="14">
        <f>2*J$2*(J$5-C33)</f>
        <v>1.3563806992102001</v>
      </c>
      <c r="E33" s="12">
        <f>E32*(2-J$1^2*D32)-E31</f>
        <v>0.00792662213744199917</v>
      </c>
      <c r="F33">
        <f>E33^2</f>
        <v>0.0000628313385100000055</v>
      </c>
      <c r="G33">
        <f>(D33*E33/SQRT(F$2))^2</f>
        <v>0.654542452098381045</v>
      </c>
    </row>
    <row r="34" spans="1:7">
      <c r="A34">
        <f>A33+1</f>
        <v>29</v>
      </c>
      <c r="B34">
        <f>B$5+A34*J$1</f>
        <v>-1.10000000000000009</v>
      </c>
      <c r="C34">
        <f>B34*B34</f>
        <v>1.20999999999999996</v>
      </c>
      <c r="D34" s="14">
        <f>2*J$2*(J$5-C34)</f>
        <v>1.81638069921019998</v>
      </c>
      <c r="E34" s="12">
        <f>E33*(2-J$1^2*D33)-E32</f>
        <v>0.00855393928161799977</v>
      </c>
      <c r="F34">
        <f>E34^2</f>
        <v>0.0000731698772340000136</v>
      </c>
      <c r="G34">
        <f>(D34*E34/SQRT(F$2))^2</f>
        <v>1.36692406087678009</v>
      </c>
    </row>
    <row r="35" spans="1:7">
      <c r="A35">
        <f>A34+1</f>
        <v>30</v>
      </c>
      <c r="B35">
        <f>B$5+A35*J$1</f>
        <v>-1</v>
      </c>
      <c r="C35">
        <f>B35*B35</f>
        <v>1</v>
      </c>
      <c r="D35" s="14">
        <f>2*J$2*(J$5-C35)</f>
        <v>2.2363806992102</v>
      </c>
      <c r="E35" s="12">
        <f>E34*(2-J$1^2*D34)-E33</f>
        <v>0.0090258843236609998</v>
      </c>
      <c r="F35">
        <f>E35^2</f>
        <v>0.0000814665878239999941</v>
      </c>
      <c r="G35">
        <f>(D35*E35/SQRT(F$2))^2</f>
        <v>2.30711531623862998</v>
      </c>
    </row>
    <row r="36" spans="1:7">
      <c r="A36">
        <f>A35+1</f>
        <v>31</v>
      </c>
      <c r="B36">
        <f>B$5+A36*J$1</f>
        <v>-0.9</v>
      </c>
      <c r="C36">
        <f>B36*B36</f>
        <v>0.810000000000000142</v>
      </c>
      <c r="D36" s="14">
        <f>2*J$2*(J$5-C36)</f>
        <v>2.61638069921019989</v>
      </c>
      <c r="E36" s="12">
        <f>E35*(2-J$1^2*D35)-E34</f>
        <v>0.00929597623075699886</v>
      </c>
      <c r="F36">
        <f>E36^2</f>
        <v>0.0000864151740830000037</v>
      </c>
      <c r="G36">
        <f>(D36*E36/SQRT(F$2))^2</f>
        <v>3.34957870957918002</v>
      </c>
    </row>
    <row r="37" spans="1:7">
      <c r="A37">
        <f>A36+1</f>
        <v>32</v>
      </c>
      <c r="B37">
        <f>B$5+A37*J$1</f>
        <v>-0.8</v>
      </c>
      <c r="C37">
        <f>B37*B37</f>
        <v>0.640000000000000036</v>
      </c>
      <c r="D37" s="14">
        <f>2*J$2*(J$5-C37)</f>
        <v>2.95638069921020019</v>
      </c>
      <c r="E37" s="12">
        <f>E36*(2-J$1^2*D36)-E35</f>
        <v>0.0093228500099480005</v>
      </c>
      <c r="F37">
        <f>E37^2</f>
        <v>0.0000869155323080000031</v>
      </c>
      <c r="G37">
        <f>(D37*E37/SQRT(F$2))^2</f>
        <v>4.30146522076038984</v>
      </c>
    </row>
    <row r="38" spans="1:7">
      <c r="A38">
        <f>A37+1</f>
        <v>33</v>
      </c>
      <c r="B38">
        <f>B$5+A38*J$1</f>
        <v>-0.7</v>
      </c>
      <c r="C38">
        <f>B38*B38</f>
        <v>0.490000000000000036</v>
      </c>
      <c r="D38" s="14">
        <f>2*J$2*(J$5-C38)</f>
        <v>3.25638069921020001</v>
      </c>
      <c r="E38" s="12">
        <f>E37*(2-J$1^2*D37)-E36</f>
        <v>0.00907410485082900209</v>
      </c>
      <c r="F38">
        <f>E38^2</f>
        <v>0.0000823393788440000129</v>
      </c>
      <c r="G38">
        <f>(D38*E38/SQRT(F$2))^2</f>
        <v>4.9439746496401904</v>
      </c>
    </row>
    <row r="39" spans="1:7">
      <c r="A39">
        <f>A38+1</f>
        <v>34</v>
      </c>
      <c r="B39">
        <f>B$5+A39*J$1</f>
        <v>-0.6</v>
      </c>
      <c r="C39">
        <f>B39*B39</f>
        <v>0.359999999999999964</v>
      </c>
      <c r="D39" s="14">
        <f>2*J$2*(J$5-C39)</f>
        <v>3.5163806992101998</v>
      </c>
      <c r="E39" s="12">
        <f>E38*(2-J$1^2*D38)-E37</f>
        <v>0.00852987229272200054</v>
      </c>
      <c r="F39">
        <f>E39^2</f>
        <v>0.0000727587213300000002</v>
      </c>
      <c r="G39">
        <f>(D39*E39/SQRT(F$2))^2</f>
        <v>5.09418999090117985</v>
      </c>
    </row>
    <row r="40" spans="1:7">
      <c r="A40">
        <f>A39+1</f>
        <v>35</v>
      </c>
      <c r="B40">
        <f>B$5+A40*J$1</f>
        <v>-0.5</v>
      </c>
      <c r="C40">
        <f>B40*B40</f>
        <v>0.25</v>
      </c>
      <c r="D40" s="14">
        <f>2*J$2*(J$5-C40)</f>
        <v>3.7363806992102</v>
      </c>
      <c r="E40" s="12">
        <f>E39*(2-J$1^2*D39)-E38</f>
        <v>0.0076856969516460012</v>
      </c>
      <c r="F40">
        <f>E40^2</f>
        <v>0.0000590699376330000003</v>
      </c>
      <c r="G40">
        <f>(D40*E40/SQRT(F$2))^2</f>
        <v>4.6694642761385099</v>
      </c>
    </row>
    <row r="41" spans="1:7">
      <c r="A41">
        <f>A40+1</f>
        <v>36</v>
      </c>
      <c r="B41">
        <f>B$5+A41*J$1</f>
        <v>-0.4</v>
      </c>
      <c r="C41">
        <f>B41*B41</f>
        <v>0.160000000000000009</v>
      </c>
      <c r="D41" s="14">
        <f>2*J$2*(J$5-C41)</f>
        <v>3.91638069921020016</v>
      </c>
      <c r="E41" s="12">
        <f>E40*(2-J$1^2*D40)-E39</f>
        <v>0.00655435471306899942</v>
      </c>
      <c r="F41">
        <f>E41^2</f>
        <v>0.0000429595657050000046</v>
      </c>
      <c r="G41">
        <f>(D41*E41/SQRT(F$2))^2</f>
        <v>3.73102355008925013</v>
      </c>
    </row>
    <row r="42" spans="1:7">
      <c r="A42">
        <f>A41+1</f>
        <v>37</v>
      </c>
      <c r="B42">
        <f>B$5+A42*J$1</f>
        <v>-0.3</v>
      </c>
      <c r="C42">
        <f>B42*B42</f>
        <v>0.09</v>
      </c>
      <c r="D42" s="14">
        <f>2*J$2*(J$5-C42)</f>
        <v>4.05638069921019984</v>
      </c>
      <c r="E42" s="12">
        <f>E41*(2-J$1^2*D41)-E40</f>
        <v>0.00516631899155200003</v>
      </c>
      <c r="F42">
        <f>E42^2</f>
        <v>0.0000266908519220000029</v>
      </c>
      <c r="G42">
        <f>(D42*E42/SQRT(F$2))^2</f>
        <v>2.48678452399640015</v>
      </c>
    </row>
    <row r="43" spans="1:7">
      <c r="A43">
        <f>A42+1</f>
        <v>38</v>
      </c>
      <c r="B43">
        <f>B$5+A43*J$1</f>
        <v>-0.2</v>
      </c>
      <c r="C43">
        <f>B43*B43</f>
        <v>0.04</v>
      </c>
      <c r="D43" s="14">
        <f>2*J$2*(J$5-C43)</f>
        <v>4.15638069921020037</v>
      </c>
      <c r="E43" s="12">
        <f>E42*(2-J$1^2*D42)-E41</f>
        <v>0.00356871770360200014</v>
      </c>
      <c r="F43">
        <f>E43^2</f>
        <v>0.0000127357460479999984</v>
      </c>
      <c r="G43">
        <f>(D43*E43/SQRT(F$2))^2</f>
        <v>1.24581436523529998</v>
      </c>
    </row>
    <row r="44" spans="1:7">
      <c r="A44">
        <f>A43+1</f>
        <v>39</v>
      </c>
      <c r="B44">
        <f>B$5+A44*J$1</f>
        <v>-0.1</v>
      </c>
      <c r="C44">
        <f>B44*B44</f>
        <v>0.01</v>
      </c>
      <c r="D44" s="14">
        <f>2*J$2*(J$5-C44)</f>
        <v>4.21638069921019998</v>
      </c>
      <c r="E44" s="12">
        <f>E43*(2-J$1^2*D43)-E42</f>
        <v>0.00182278692181000004</v>
      </c>
      <c r="F44">
        <f>E44^2</f>
        <v>3.322552162321574858E-06</v>
      </c>
      <c r="G44">
        <f>(D44*E44/SQRT(F$2))^2</f>
        <v>0.334464282351291997</v>
      </c>
    </row>
    <row r="45" spans="1:7">
      <c r="A45">
        <f>A44+1</f>
        <v>40</v>
      </c>
      <c r="B45">
        <f>B$5+A45*J$1</f>
        <v>0</v>
      </c>
      <c r="C45">
        <f>B45*B45</f>
        <v>0</v>
      </c>
      <c r="D45" s="14">
        <f>2*J$2*(J$5-C45)</f>
        <v>4.23638069921020044</v>
      </c>
      <c r="E45" s="12">
        <f>E44*(2-J$1^2*D44)-E43</f>
        <v>5.040590002683420501E-10</v>
      </c>
      <c r="F45">
        <f>E45^2</f>
        <v>2.540754757515204682E-19</v>
      </c>
      <c r="G45">
        <f>(D45*E45/SQRT(F$2))^2</f>
        <v>2.581968941179664155E-14</v>
      </c>
    </row>
    <row r="46" spans="1:7">
      <c r="A46">
        <f>A45+1</f>
        <v>41</v>
      </c>
      <c r="B46">
        <f>B$5+A46*J$1</f>
        <v>0.1</v>
      </c>
      <c r="C46">
        <f>B46*B46</f>
        <v>0.01</v>
      </c>
      <c r="D46" s="14">
        <f>2*J$2*(J$5-C46)</f>
        <v>4.21638069921019998</v>
      </c>
      <c r="E46" s="12">
        <f>E45*(2-J$1^2*D45)-E44</f>
        <v>-0.00182278593504600028</v>
      </c>
      <c r="F46">
        <f>E46^2</f>
        <v>3.322548565001521105E-06</v>
      </c>
      <c r="G46">
        <f>(D46*E46/SQRT(F$2))^2</f>
        <v>0.334463920227595013</v>
      </c>
    </row>
    <row r="47" spans="1:7">
      <c r="A47">
        <f>A46+1</f>
        <v>42</v>
      </c>
      <c r="B47">
        <f>B$5+A47*J$1</f>
        <v>0.2</v>
      </c>
      <c r="C47">
        <f>B47*B47</f>
        <v>0.04</v>
      </c>
      <c r="D47" s="14">
        <f>2*J$2*(J$5-C47)</f>
        <v>4.15638069921020037</v>
      </c>
      <c r="E47" s="12">
        <f>E46*(2-J$1^2*D46)-E45</f>
        <v>-0.00356871677979800017</v>
      </c>
      <c r="F47">
        <f>E47^2</f>
        <v>0.0000127357394539999969</v>
      </c>
      <c r="G47">
        <f>(D47*E47/SQRT(F$2))^2</f>
        <v>1.24581372024836989</v>
      </c>
    </row>
    <row r="48" spans="1:7">
      <c r="A48">
        <f>A47+1</f>
        <v>43</v>
      </c>
      <c r="B48">
        <f>B$5+A48*J$1</f>
        <v>0.3</v>
      </c>
      <c r="C48">
        <f>B48*B48</f>
        <v>0.09</v>
      </c>
      <c r="D48" s="14">
        <f>2*J$2*(J$5-C48)</f>
        <v>4.05638069921019984</v>
      </c>
      <c r="E48" s="12">
        <f>E47*(2-J$1^2*D47)-E46</f>
        <v>-0.00516631816910499975</v>
      </c>
      <c r="F48">
        <f>E48^2</f>
        <v>0.000026690843423999997</v>
      </c>
      <c r="G48">
        <f>(D48*E48/SQRT(F$2))^2</f>
        <v>2.48678373223413018</v>
      </c>
    </row>
    <row r="49" spans="1:7">
      <c r="A49">
        <f>A48+1</f>
        <v>44</v>
      </c>
      <c r="B49">
        <f>B$5+A49*J$1</f>
        <v>0.4</v>
      </c>
      <c r="C49">
        <f>B49*B49</f>
        <v>0.160000000000000009</v>
      </c>
      <c r="D49" s="14">
        <f>2*J$2*(J$5-C49)</f>
        <v>3.91638069921020016</v>
      </c>
      <c r="E49" s="12">
        <f>E48*(2-J$1^2*D48)-E47</f>
        <v>-0.00655435402534100042</v>
      </c>
      <c r="F49">
        <f>E49^2</f>
        <v>0.0000429595566899999959</v>
      </c>
      <c r="G49">
        <f>(D49*E49/SQRT(F$2))^2</f>
        <v>3.73102276711989012</v>
      </c>
    </row>
    <row r="50" spans="1:7">
      <c r="A50">
        <f>A49+1</f>
        <v>45</v>
      </c>
      <c r="B50">
        <f>B$5+A50*J$1</f>
        <v>0.5</v>
      </c>
      <c r="C50">
        <f>B50*B50</f>
        <v>0.25</v>
      </c>
      <c r="D50" s="14">
        <f>2*J$2*(J$5-C50)</f>
        <v>3.7363806992102</v>
      </c>
      <c r="E50" s="12">
        <f>E49*(2-J$1^2*D49)-E48</f>
        <v>-0.00768569642557099897</v>
      </c>
      <c r="F50">
        <f>E50^2</f>
        <v>0.0000590699295459999973</v>
      </c>
      <c r="G50">
        <f>(D50*E50/SQRT(F$2))^2</f>
        <v>4.66946363690199995</v>
      </c>
    </row>
    <row r="51" spans="1:7">
      <c r="A51">
        <f>A50+1</f>
        <v>46</v>
      </c>
      <c r="B51">
        <f>B$5+A51*J$1</f>
        <v>0.6</v>
      </c>
      <c r="C51">
        <f>B51*B51</f>
        <v>0.359999999999999964</v>
      </c>
      <c r="D51" s="14">
        <f>2*J$2*(J$5-C51)</f>
        <v>3.5163806992101998</v>
      </c>
      <c r="E51" s="12">
        <f>E50*(2-J$1^2*D50)-E49</f>
        <v>-0.0085298719479559999</v>
      </c>
      <c r="F51">
        <f>E51^2</f>
        <v>0.0000727587154489999932</v>
      </c>
      <c r="G51">
        <f>(D51*E51/SQRT(F$2))^2</f>
        <v>5.09418957910038017</v>
      </c>
    </row>
    <row r="52" spans="1:7">
      <c r="A52">
        <f>A51+1</f>
        <v>47</v>
      </c>
      <c r="B52">
        <f>B$5+A52*J$1</f>
        <v>0.7</v>
      </c>
      <c r="C52">
        <f>B52*B52</f>
        <v>0.490000000000000036</v>
      </c>
      <c r="D52" s="14">
        <f>2*J$2*(J$5-C52)</f>
        <v>3.25638069921020001</v>
      </c>
      <c r="E52" s="12">
        <f>E51*(2-J$1^2*D51)-E50</f>
        <v>-0.00907410469949600085</v>
      </c>
      <c r="F52">
        <f>E52^2</f>
        <v>0.0000823393760970000166</v>
      </c>
      <c r="G52">
        <f>(D52*E52/SQRT(F$2))^2</f>
        <v>4.94397448473429968</v>
      </c>
    </row>
    <row r="53" spans="1:7">
      <c r="A53">
        <f>A52+1</f>
        <v>48</v>
      </c>
      <c r="B53">
        <f>B$5+A53*J$1</f>
        <v>0.8</v>
      </c>
      <c r="C53">
        <f>B53*B53</f>
        <v>0.640000000000000036</v>
      </c>
      <c r="D53" s="14">
        <f>2*J$2*(J$5-C53)</f>
        <v>2.95638069921020019</v>
      </c>
      <c r="E53" s="12">
        <f>E52*(2-J$1^2*D52)-E51</f>
        <v>-0.00932285005697599978</v>
      </c>
      <c r="F53">
        <f>E53^2</f>
        <v>0.0000869155331849999868</v>
      </c>
      <c r="G53">
        <f>(D53*E53/SQRT(F$2))^2</f>
        <v>4.30146526415695973</v>
      </c>
    </row>
    <row r="54" spans="1:7">
      <c r="A54">
        <f>A53+1</f>
        <v>49</v>
      </c>
      <c r="B54">
        <f>B$5+A54*J$1</f>
        <v>0.900000000000001066</v>
      </c>
      <c r="C54">
        <f>B54*B54</f>
        <v>0.810000000000002096</v>
      </c>
      <c r="D54" s="14">
        <f>2*J$2*(J$5-C54)</f>
        <v>2.61638069921019989</v>
      </c>
      <c r="E54" s="12">
        <f>E53*(2-J$1^2*D53)-E52</f>
        <v>-0.00929597647475499933</v>
      </c>
      <c r="F54">
        <f>E54^2</f>
        <v>0.0000864151786189999882</v>
      </c>
      <c r="G54">
        <f>(D54*E54/SQRT(F$2))^2</f>
        <v>3.34957888541676985</v>
      </c>
    </row>
    <row r="55" spans="1:7">
      <c r="A55">
        <f>A54+1</f>
        <v>50</v>
      </c>
      <c r="B55">
        <f>B$5+A55*J$1</f>
        <v>1</v>
      </c>
      <c r="C55">
        <f>B55*B55</f>
        <v>1</v>
      </c>
      <c r="D55" s="14">
        <f>2*J$2*(J$5-C55)</f>
        <v>2.2363806992102</v>
      </c>
      <c r="E55" s="12">
        <f>E54*(2-J$1^2*D54)-E53</f>
        <v>-0.00902588475824499881</v>
      </c>
      <c r="F55">
        <f>E55^2</f>
        <v>0.0000814665956690000037</v>
      </c>
      <c r="G55">
        <f>(D55*E55/SQRT(F$2))^2</f>
        <v>2.30711553840772021</v>
      </c>
    </row>
    <row r="56" spans="1:7">
      <c r="A56">
        <f>A55+1</f>
        <v>51</v>
      </c>
      <c r="B56">
        <f>B$5+A56*J$1</f>
        <v>1.10000000000000009</v>
      </c>
      <c r="C56">
        <f>B56*B56</f>
        <v>1.20999999999999996</v>
      </c>
      <c r="D56" s="14">
        <f>2*J$2*(J$5-C56)</f>
        <v>1.81638069921019998</v>
      </c>
      <c r="E56" s="12">
        <f>E55*(2-J$1^2*D55)-E54</f>
        <v>-0.00855393989706900015</v>
      </c>
      <c r="F56">
        <f>E56^2</f>
        <v>0.0000731698877629999966</v>
      </c>
      <c r="G56">
        <f>(D56*E56/SQRT(F$2))^2</f>
        <v>1.36692425757551006</v>
      </c>
    </row>
    <row r="57" spans="1:7">
      <c r="A57">
        <f>A56+1</f>
        <v>52</v>
      </c>
      <c r="B57">
        <f>B$5+A57*J$1</f>
        <v>1.19999999999999996</v>
      </c>
      <c r="C57">
        <f>B57*B57</f>
        <v>1.43999999999999995</v>
      </c>
      <c r="D57" s="14">
        <f>2*J$2*(J$5-C57)</f>
        <v>1.3563806992102001</v>
      </c>
      <c r="E57" s="12">
        <f>E56*(2-J$1^2*D56)-E55</f>
        <v>-0.0079266229225810001</v>
      </c>
      <c r="F57">
        <f>E57^2</f>
        <v>0.0000628313509569999962</v>
      </c>
      <c r="G57">
        <f>(D57*E57/SQRT(F$2))^2</f>
        <v>0.654542581764368947</v>
      </c>
    </row>
    <row r="58" spans="1:7">
      <c r="A58">
        <f>A57+1</f>
        <v>53</v>
      </c>
      <c r="B58">
        <f>B$5+A58*J$1</f>
        <v>1.30000000000000004</v>
      </c>
      <c r="C58">
        <f>B58*B58</f>
        <v>1.68999999999999995</v>
      </c>
      <c r="D58" s="14">
        <f>2*J$2*(J$5-C58)</f>
        <v>0.856380699210200014</v>
      </c>
      <c r="E58" s="12">
        <f>E57*(2-J$1^2*D57)-E56</f>
        <v>-0.00719179076467200051</v>
      </c>
      <c r="F58">
        <f>E58^2</f>
        <v>0.0000517218544029999894</v>
      </c>
      <c r="G58">
        <f>(D58*E58/SQRT(F$2))^2</f>
        <v>0.214786080932695</v>
      </c>
    </row>
    <row r="59" spans="1:7">
      <c r="A59">
        <f>A58+1</f>
        <v>54</v>
      </c>
      <c r="B59">
        <f>B$5+A59*J$1</f>
        <v>1.39999999999999991</v>
      </c>
      <c r="C59">
        <f>B59*B59</f>
        <v>1.95999999999999996</v>
      </c>
      <c r="D59" s="14">
        <f>2*J$2*(J$5-C59)</f>
        <v>0.316380699210200023</v>
      </c>
      <c r="E59" s="12">
        <f>E58*(2-J$1^2*D58)-E57</f>
        <v>-0.00639536949872700067</v>
      </c>
      <c r="F59">
        <f>E59^2</f>
        <v>0.0000409007510250000017</v>
      </c>
      <c r="G59">
        <f>(D59*E59/SQRT(F$2))^2</f>
        <v>0.0231819278878490032</v>
      </c>
    </row>
    <row r="60" spans="1:7">
      <c r="A60">
        <f>A59+1</f>
        <v>55</v>
      </c>
      <c r="B60">
        <f>B$5+A60*J$1</f>
        <v>1.5</v>
      </c>
      <c r="C60">
        <f>B60*B60</f>
        <v>2.25</v>
      </c>
      <c r="D60" s="14">
        <f>2*J$2*(J$5-C60)</f>
        <v>-0.263619300789800004</v>
      </c>
      <c r="E60" s="12">
        <f>E59*(2-J$1^2*D59)-E58</f>
        <v>-0.0055787145180450004</v>
      </c>
      <c r="F60">
        <f>E60^2</f>
        <v>0.0000311220556739999976</v>
      </c>
      <c r="G60">
        <f>(D60*E60/SQRT(F$2))^2</f>
        <v>0.0122467538149270005</v>
      </c>
    </row>
    <row r="61" spans="1:7">
      <c r="A61">
        <f>A60+1</f>
        <v>56</v>
      </c>
      <c r="B61">
        <f>B$5+A61*J$1</f>
        <v>1.60000000000000009</v>
      </c>
      <c r="C61">
        <f>B61*B61</f>
        <v>2.56000000000000005</v>
      </c>
      <c r="D61" s="14">
        <f>2*J$2*(J$5-C61)</f>
        <v>-0.883619300789800022</v>
      </c>
      <c r="E61" s="12">
        <f>E60*(2-J$1^2*D60)-E59</f>
        <v>-0.00477676610556900005</v>
      </c>
      <c r="F61">
        <f>E61^2</f>
        <v>0.0000228174944270000069</v>
      </c>
      <c r="G61">
        <f>(D61*E61/SQRT(F$2))^2</f>
        <v>0.100878042206491014</v>
      </c>
    </row>
    <row r="62" spans="1:7">
      <c r="A62">
        <f>A61+1</f>
        <v>57</v>
      </c>
      <c r="B62">
        <f>B$5+A62*J$1</f>
        <v>1.7</v>
      </c>
      <c r="C62">
        <f>B62*B62</f>
        <v>2.89000000000000021</v>
      </c>
      <c r="D62" s="14">
        <f>2*J$2*(J$5-C62)</f>
        <v>-1.54361930078979999</v>
      </c>
      <c r="E62" s="12">
        <f>E61*(2-J$1^2*D61)-E60</f>
        <v>-0.00401702612035500017</v>
      </c>
      <c r="F62">
        <f>E62^2</f>
        <v>0.0000161364988520000008</v>
      </c>
      <c r="G62">
        <f>(D62*E62/SQRT(F$2))^2</f>
        <v>0.217714831940094999</v>
      </c>
    </row>
    <row r="63" spans="1:7">
      <c r="A63">
        <f>A62+1</f>
        <v>58</v>
      </c>
      <c r="B63">
        <f>B$5+A63*J$1</f>
        <v>1.8</v>
      </c>
      <c r="C63">
        <f>B63*B63</f>
        <v>3.24000000000000021</v>
      </c>
      <c r="D63" s="14">
        <f>2*J$2*(J$5-C63)</f>
        <v>-2.24361930078979999</v>
      </c>
      <c r="E63" s="12">
        <f>E62*(2-J$1^2*D62)-E61</f>
        <v>-0.00331929372565299996</v>
      </c>
      <c r="F63">
        <f>E63^2</f>
        <v>0.0000110177108369999988</v>
      </c>
      <c r="G63">
        <f>(D63*E63/SQRT(F$2))^2</f>
        <v>0.31404219891277001</v>
      </c>
    </row>
    <row r="64" spans="1:7">
      <c r="A64">
        <f>A63+1</f>
        <v>59</v>
      </c>
      <c r="B64">
        <f>B$5+A64*J$1</f>
        <v>1.9</v>
      </c>
      <c r="C64">
        <f>B64*B64</f>
        <v>3.60999999999999988</v>
      </c>
      <c r="D64" s="14">
        <f>2*J$2*(J$5-C64)</f>
        <v>-2.9836193007898002</v>
      </c>
      <c r="E64" s="12">
        <f>E63*(2-J$1^2*D63)-E62</f>
        <v>-0.00269603364563000003</v>
      </c>
      <c r="F64">
        <f>E64^2</f>
        <v>7.268597418368988636E-06</v>
      </c>
      <c r="G64">
        <f>(D64*E64/SQRT(F$2))^2</f>
        <v>0.366383355800485955</v>
      </c>
    </row>
    <row r="65" spans="1:7">
      <c r="A65">
        <f>A64+1</f>
        <v>60</v>
      </c>
      <c r="B65">
        <f>B$5+A65*J$1</f>
        <v>2</v>
      </c>
      <c r="C65">
        <f>B65*B65</f>
        <v>4</v>
      </c>
      <c r="D65" s="14">
        <f>2*J$2*(J$5-C65)</f>
        <v>-3.7636193007898</v>
      </c>
      <c r="E65" s="12">
        <f>E64*(2-J$1^2*D64)-E63</f>
        <v>-0.00215321294581399991</v>
      </c>
      <c r="F65">
        <f>E65^2</f>
        <v>4.63632599002100263E-06</v>
      </c>
      <c r="G65">
        <f>(D65*E65/SQRT(F$2))^2</f>
        <v>0.371863577811069979</v>
      </c>
    </row>
    <row r="66" spans="1:7">
      <c r="A66">
        <f>A65+1</f>
        <v>61</v>
      </c>
      <c r="B66">
        <f>B$5+A66*J$1</f>
        <v>2.10000000000000009</v>
      </c>
      <c r="C66">
        <f>B66*B66</f>
        <v>4.41000000000000014</v>
      </c>
      <c r="D66" s="14">
        <f>2*J$2*(J$5-C66)</f>
        <v>-4.58361930078979984</v>
      </c>
      <c r="E66" s="12">
        <f>E65*(2-J$1^2*D65)-E64</f>
        <v>-0.00169143098401399978</v>
      </c>
      <c r="F66">
        <f>E66^2</f>
        <v>2.860938773682567885E-06</v>
      </c>
      <c r="G66">
        <f>(D66*E66/SQRT(F$2))^2</f>
        <v>0.340348583531679028</v>
      </c>
    </row>
    <row r="67" spans="1:7">
      <c r="A67">
        <f>A66+1</f>
        <v>62</v>
      </c>
      <c r="B67">
        <f>B$5+A67*J$1</f>
        <v>2.20000000000000018</v>
      </c>
      <c r="C67">
        <f>B67*B67</f>
        <v>4.83999999999999986</v>
      </c>
      <c r="D67" s="14">
        <f>2*J$2*(J$5-C67)</f>
        <v>-5.44361930078980016</v>
      </c>
      <c r="E67" s="12">
        <f>E66*(2-J$1^2*D66)-E65</f>
        <v>-0.00130717777925700007</v>
      </c>
      <c r="F67">
        <f>E67^2</f>
        <v>1.708713746583261953E-06</v>
      </c>
      <c r="G67">
        <f>(D67*E67/SQRT(F$2))^2</f>
        <v>0.286710176871805977</v>
      </c>
    </row>
    <row r="68" spans="1:7">
      <c r="A68">
        <f>A67+1</f>
        <v>63</v>
      </c>
      <c r="B68">
        <f>B$5+A68*J$1</f>
        <v>2.29999999999999982</v>
      </c>
      <c r="C68">
        <f>B68*B68</f>
        <v>5.29000000000000004</v>
      </c>
      <c r="D68" s="14">
        <f>2*J$2*(J$5-C68)</f>
        <v>-6.34361930078979963</v>
      </c>
      <c r="E68" s="12">
        <f>E67*(2-J$1^2*D67)-E66</f>
        <v>-0.000994082356387000132</v>
      </c>
      <c r="F68">
        <f>E68^2</f>
        <v>9.881997312799303054E-07</v>
      </c>
      <c r="G68">
        <f>(D68*E68/SQRT(F$2))^2</f>
        <v>0.225173490432015022</v>
      </c>
    </row>
    <row r="69" spans="1:7">
      <c r="A69">
        <f>A68+1</f>
        <v>64</v>
      </c>
      <c r="B69">
        <f>B$5+A69*J$1</f>
        <v>2.39999999999999991</v>
      </c>
      <c r="C69">
        <f>B69*B69</f>
        <v>5.75999999999999979</v>
      </c>
      <c r="D69" s="14">
        <f>2*J$2*(J$5-C69)</f>
        <v>-7.28361930078980002</v>
      </c>
      <c r="E69" s="12">
        <f>E68*(2-J$1^2*D68)-E67</f>
        <v>-0.000744047733742999995</v>
      </c>
      <c r="F69">
        <f>E69^2</f>
        <v>5.536070300880942505E-07</v>
      </c>
      <c r="G69">
        <f>(D69*E69/SQRT(F$2))^2</f>
        <v>0.166300814940326998</v>
      </c>
    </row>
    <row r="70" spans="1:7">
      <c r="A70">
        <f>A69+1</f>
        <v>65</v>
      </c>
      <c r="B70">
        <f>B$5+A70*J$1</f>
        <v>2.5</v>
      </c>
      <c r="C70">
        <f>B70*B70</f>
        <v>6.25</v>
      </c>
      <c r="D70" s="14">
        <f>2*J$2*(J$5-C70)</f>
        <v>-8.26361930078980045</v>
      </c>
      <c r="E70" s="12">
        <f>E69*(2-J$1^2*D69)-E68</f>
        <v>-0.000548206715441000014</v>
      </c>
      <c r="F70">
        <f>E70^2</f>
        <v>3.005306028546096223E-07</v>
      </c>
      <c r="G70">
        <f>(D70*E70/SQRT(F$2))^2</f>
        <v>0.116205747869307996</v>
      </c>
    </row>
    <row r="71" spans="1:7">
      <c r="A71">
        <f>A70+1</f>
        <v>66</v>
      </c>
      <c r="B71">
        <f>B$5+A71*J$1</f>
        <v>2.60000000000000009</v>
      </c>
      <c r="C71">
        <f>B71*B71</f>
        <v>6.75999999999999979</v>
      </c>
      <c r="D71" s="14">
        <f>2*J$2*(J$5-C71)</f>
        <v>-9.28361930078980002</v>
      </c>
      <c r="E71" s="12">
        <f>E70*(2-J$1^2*D70)-E69</f>
        <v>-0.000397667413083999932</v>
      </c>
      <c r="F71">
        <f>E71^2</f>
        <v>1.581393714289207092E-07</v>
      </c>
      <c r="G71">
        <f>(D71*E71/SQRT(F$2))^2</f>
        <v>0.077174346138389005</v>
      </c>
    </row>
    <row r="72" spans="1:7">
      <c r="A72">
        <f>A71+1</f>
        <v>67</v>
      </c>
      <c r="B72">
        <f>B$5+A72*J$1</f>
        <v>2.70000000000000018</v>
      </c>
      <c r="C72">
        <f>B72*B72</f>
        <v>7.29000000000000004</v>
      </c>
      <c r="D72" s="14">
        <f>2*J$2*(J$5-C72)</f>
        <v>-10.3436193007898005</v>
      </c>
      <c r="E72" s="12">
        <f>E71*(2-J$1^2*D71)-E70</f>
        <v>-0.000284046039440999998</v>
      </c>
      <c r="F72">
        <f>E72^2</f>
        <v>8.068215252211811284E-08</v>
      </c>
      <c r="G72">
        <f>(D72*E72/SQRT(F$2))^2</f>
        <v>0.0488788339450730014</v>
      </c>
    </row>
    <row r="73" spans="1:7">
      <c r="A73">
        <f>A72+1</f>
        <v>68</v>
      </c>
      <c r="B73">
        <f>B$5+A73*J$1</f>
        <v>2.79999999999999982</v>
      </c>
      <c r="C73">
        <f>B73*B73</f>
        <v>7.83999999999999986</v>
      </c>
      <c r="D73" s="14">
        <f>2*J$2*(J$5-C73)</f>
        <v>-11.4436193007898002</v>
      </c>
      <c r="E73" s="12">
        <f>E72*(2-J$1^2*D72)-E71</f>
        <v>-0.00019980530675699999</v>
      </c>
      <c r="F73">
        <f>E73^2</f>
        <v>3.992216060825888224E-08</v>
      </c>
      <c r="G73">
        <f>(D73*E73/SQRT(F$2))^2</f>
        <v>0.0296032331364830057</v>
      </c>
    </row>
    <row r="74" spans="1:7">
      <c r="A74">
        <f>A73+1</f>
        <v>69</v>
      </c>
      <c r="B74">
        <f>B$5+A74*J$1</f>
        <v>2.9</v>
      </c>
      <c r="C74">
        <f>B74*B74</f>
        <v>8.41000000000000014</v>
      </c>
      <c r="D74" s="14">
        <f>2*J$2*(J$5-C74)</f>
        <v>-12.5836193007898007</v>
      </c>
      <c r="E74" s="12">
        <f>E73*(2-J$1^2*D73)-E72</f>
        <v>-0.000138429532720999982</v>
      </c>
      <c r="F74">
        <f>E74^2</f>
        <v>1.916273552935441085E-08</v>
      </c>
      <c r="G74">
        <f>(D74*E74/SQRT(F$2))^2</f>
        <v>0.0171817324641720015</v>
      </c>
    </row>
    <row r="75" spans="1:7">
      <c r="A75">
        <f>A74+1</f>
        <v>70</v>
      </c>
      <c r="B75">
        <f>B$5+A75*J$1</f>
        <v>3</v>
      </c>
      <c r="C75">
        <f>B75*B75</f>
        <v>9</v>
      </c>
      <c r="D75" s="14">
        <f>2*J$2*(J$5-C75)</f>
        <v>-13.7636193007898004</v>
      </c>
      <c r="E75" s="12">
        <f>E74*(2-J$1^2*D74)-E73</f>
        <v>-0.0000944732040819999952</v>
      </c>
      <c r="F75">
        <f>E75^2</f>
        <v>8.925186289519221623E-09</v>
      </c>
      <c r="G75">
        <f>(D75*E75/SQRT(F$2))^2</f>
        <v>0.00957372388064300139</v>
      </c>
    </row>
    <row r="76" spans="1:7">
      <c r="A76">
        <f>A75+1</f>
        <v>71</v>
      </c>
      <c r="B76">
        <f>B$5+A76*J$1</f>
        <v>3.10000000000000009</v>
      </c>
      <c r="C76">
        <f>B76*B76</f>
        <v>9.60999999999999943</v>
      </c>
      <c r="D76" s="14">
        <f>2*J$2*(J$5-C76)</f>
        <v>-14.9836193007897993</v>
      </c>
      <c r="E76" s="12">
        <f>E75*(2-J$1^2*D75)-E74</f>
        <v>-0.0000635198075939999995</v>
      </c>
      <c r="F76">
        <f>E76^2</f>
        <v>4.034765956778779931E-09</v>
      </c>
      <c r="G76">
        <f>(D76*E76/SQRT(F$2))^2</f>
        <v>0.00512920566003700085</v>
      </c>
    </row>
    <row r="77" spans="1:7">
      <c r="A77">
        <f>A76+1</f>
        <v>72</v>
      </c>
      <c r="B77">
        <f>B$5+A77*J$1</f>
        <v>3.20000000000000018</v>
      </c>
      <c r="C77">
        <f>B77*B77</f>
        <v>10.2400000000000002</v>
      </c>
      <c r="D77" s="14">
        <f>2*J$2*(J$5-C77)</f>
        <v>-16.2436193007897991</v>
      </c>
      <c r="E77" s="12">
        <f>E76*(2-J$1^2*D76)-E75</f>
        <v>-0.0000420839772559999936</v>
      </c>
      <c r="F77">
        <f>E77^2</f>
        <v>1.771061141683525126E-09</v>
      </c>
      <c r="G77">
        <f>(D77*E77/SQRT(F$2))^2</f>
        <v>0.00264604645259800009</v>
      </c>
    </row>
    <row r="78" spans="1:7">
      <c r="A78">
        <f>A77+1</f>
        <v>73</v>
      </c>
      <c r="B78">
        <f>B$5+A78*J$1</f>
        <v>3.29999999999999982</v>
      </c>
      <c r="C78">
        <f>B78*B78</f>
        <v>10.8900000000000006</v>
      </c>
      <c r="D78" s="14">
        <f>2*J$2*(J$5-C78)</f>
        <v>-17.5436193007897998</v>
      </c>
      <c r="E78" s="12">
        <f>E77*(2-J$1^2*D77)-E76</f>
        <v>-0.0000274841079700000002</v>
      </c>
      <c r="F78">
        <f>E78^2</f>
        <v>7.553761909066174723E-10</v>
      </c>
      <c r="G78">
        <f>(D78*E78/SQRT(F$2))^2</f>
        <v>0.00131643671408399987</v>
      </c>
    </row>
    <row r="79" spans="1:7">
      <c r="A79">
        <f>A78+1</f>
        <v>74</v>
      </c>
      <c r="B79">
        <f>B$5+A79*J$1</f>
        <v>3.39999999999999991</v>
      </c>
      <c r="C79">
        <f>B79*B79</f>
        <v>11.5600000000000005</v>
      </c>
      <c r="D79" s="14">
        <f>2*J$2*(J$5-C79)</f>
        <v>-18.8836193007897997</v>
      </c>
      <c r="E79" s="12">
        <f>E78*(2-J$1^2*D78)-E77</f>
        <v>-0.0000177059459540000024</v>
      </c>
      <c r="F79">
        <f>E79^2</f>
        <v>3.135005221259689903E-10</v>
      </c>
      <c r="G79">
        <f>(D79*E79/SQRT(F$2))^2</f>
        <v>0.000633004862338999974</v>
      </c>
    </row>
    <row r="80" spans="1:7">
      <c r="A80">
        <f>A79+1</f>
        <v>75</v>
      </c>
      <c r="B80">
        <f>B$5+A80*J$1</f>
        <v>3.5</v>
      </c>
      <c r="C80">
        <f>B80*B80</f>
        <v>12.25</v>
      </c>
      <c r="D80" s="14">
        <f>2*J$2*(J$5-C80)</f>
        <v>-20.2636193007897987</v>
      </c>
      <c r="E80" s="12">
        <f>E79*(2-J$1^2*D79)-E78</f>
        <v>-0.0000112713073659999985</v>
      </c>
      <c r="F80">
        <f>E80^2</f>
        <v>1.270423697388458906E-10</v>
      </c>
      <c r="G80">
        <f>(D80*E80/SQRT(F$2))^2</f>
        <v>0.00029537989121299999</v>
      </c>
    </row>
    <row r="81" spans="1:7">
      <c r="A81">
        <f>A80+1</f>
        <v>76</v>
      </c>
      <c r="B81">
        <f>B$5+A81*J$1</f>
        <v>3.60000000000000009</v>
      </c>
      <c r="C81">
        <f>B81*B81</f>
        <v>12.9600000000000009</v>
      </c>
      <c r="D81" s="14">
        <f>2*J$2*(J$5-C81)</f>
        <v>-21.6836193007898004</v>
      </c>
      <c r="E81" s="12">
        <f>E80*(2-J$1^2*D80)-E79</f>
        <v>-7.12064359299999927E-06</v>
      </c>
      <c r="F81">
        <f>E81^2</f>
        <v>5.070356517853193585E-11</v>
      </c>
      <c r="G81">
        <f>(D81*E81/SQRT(F$2))^2</f>
        <v>0.00013498961224299999</v>
      </c>
    </row>
    <row r="82" spans="1:7">
      <c r="A82">
        <f>A81+1</f>
        <v>77</v>
      </c>
      <c r="B82">
        <f>B$5+A82*J$1</f>
        <v>3.70000000000000018</v>
      </c>
      <c r="C82">
        <f>B82*B82</f>
        <v>13.6899999999999995</v>
      </c>
      <c r="D82" s="14">
        <f>2*J$2*(J$5-C82)</f>
        <v>-23.1436193007898012</v>
      </c>
      <c r="E82" s="12">
        <f>E81*(2-J$1^2*D81)-E80</f>
        <v>-4.51399306800000016E-06</v>
      </c>
      <c r="F82">
        <f>E82^2</f>
        <v>2.037613341795204787E-11</v>
      </c>
      <c r="G82">
        <f>(D82*E82/SQRT(F$2))^2</f>
        <v>0.0000617991688290000063</v>
      </c>
    </row>
    <row r="83" spans="1:7">
      <c r="A83">
        <f>A82+1</f>
        <v>78</v>
      </c>
      <c r="B83">
        <f>B$5+A83*J$1</f>
        <v>3.79999999999999982</v>
      </c>
      <c r="C83">
        <f>B83*B83</f>
        <v>14.4399999999999995</v>
      </c>
      <c r="D83" s="14">
        <f>2*J$2*(J$5-C83)</f>
        <v>-24.6436193007898012</v>
      </c>
      <c r="E83" s="12">
        <f>E82*(2-J$1^2*D82)-E81</f>
        <v>-2.952043914000000972E-06</v>
      </c>
      <c r="F83">
        <f>E83^2</f>
        <v>8.714563270184445127E-12</v>
      </c>
      <c r="G83">
        <f>(D83*E83/SQRT(F$2))^2</f>
        <v>0.0000299676656349999959</v>
      </c>
    </row>
    <row r="84" spans="1:7">
      <c r="A84">
        <f>A83+1</f>
        <v>79</v>
      </c>
      <c r="B84">
        <f>B$5+A84*J$1</f>
        <v>3.9</v>
      </c>
      <c r="C84">
        <f>B84*B84</f>
        <v>15.2100000000000009</v>
      </c>
      <c r="D84" s="14">
        <f>2*J$2*(J$5-C84)</f>
        <v>-26.1836193007898004</v>
      </c>
      <c r="E84" s="12">
        <f>E83*(2-J$1^2*D83)-E82</f>
        <v>-2.117585223758302151E-06</v>
      </c>
      <c r="F84">
        <f>E84^2</f>
        <v>4.484167179879498297E-12</v>
      </c>
      <c r="G84">
        <f>(D84*E84/SQRT(F$2))^2</f>
        <v>0.0000174076223499999987</v>
      </c>
    </row>
    <row r="85" spans="1:7">
      <c r="A85">
        <f>A84+1</f>
        <v>80</v>
      </c>
      <c r="B85">
        <f>B$5+A85*J$1</f>
        <v>4</v>
      </c>
      <c r="C85">
        <f>B85*B85</f>
        <v>16</v>
      </c>
      <c r="D85" s="14">
        <f>2*J$2*(J$5-C85)</f>
        <v>-27.7636193007897987</v>
      </c>
      <c r="E85" s="12">
        <f>E84*(2-J$1^2*D84)-E83</f>
        <v>-1.837586986875259054E-06</v>
      </c>
      <c r="F85">
        <f>E85^2</f>
        <v>3.37672593433329409E-12</v>
      </c>
      <c r="G85">
        <f>(D85*E85/SQRT(F$2))^2</f>
        <v>0.0000147382622329999986</v>
      </c>
    </row>
  </sheetData>
  <printOptions>
    <extLst>
      <ext uri="smNativeData">
        <pm:pageFlags xmlns:pm="smNativeData" id="177090336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0903363" l="56" r="56" t="56" b="56" borderId="0" fillId="0" vertical="0"/>
        <pm:footer xmlns:pm="smNativeData" id="1770903363" l="56" r="56" t="56" b="56" borderId="0" fillId="0" vertical="2"/>
        <pm:paperBin xmlns:pm="smNativeData" id="1770903363" Id="0" type="0" value="0"/>
        <pm:paperBin xmlns:pm="smNativeData" id="1770903363" Id="1" type="0" value="0"/>
      </ext>
    </extLst>
  </headerFooter>
  <extLst>
    <ext uri="smNativeData">
      <pm:sheetPrefs xmlns:pm="smNativeData" day="177090336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P86"/>
  <sheetViews>
    <sheetView tabSelected="1" view="normal" zoomScale="120" workbookViewId="0">
      <selection activeCell="P63" sqref="P63"/>
    </sheetView>
  </sheetViews>
  <sheetFormatPr defaultRowHeight="15.40"/>
  <cols>
    <col min="1" max="1" width="4.982143" customWidth="1"/>
    <col min="2" max="2" width="5.875000" customWidth="1"/>
    <col min="4" max="4" width="11.687500" customWidth="1"/>
    <col min="5" max="5" width="13.419643" customWidth="1"/>
    <col min="6" max="6" width="13.392857" customWidth="1"/>
    <col min="7" max="7" width="15.026786" customWidth="1"/>
    <col min="9" max="9" width="12.357143" customWidth="1"/>
    <col min="11" max="11" width="12.580357" customWidth="1"/>
    <col min="12" max="12" width="12.017857" customWidth="1"/>
    <col min="13" max="13" width="14.250000" customWidth="1"/>
    <col min="14" max="14" width="12.357143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4</v>
      </c>
      <c r="E1" s="2" t="s">
        <v>7</v>
      </c>
      <c r="F1" s="2"/>
      <c r="G1" s="2"/>
      <c r="H1" s="10" t="s">
        <v>10</v>
      </c>
      <c r="I1" s="10" t="n">
        <v>0.1</v>
      </c>
      <c r="K1" s="13"/>
    </row>
    <row r="2" spans="1:14">
      <c r="A2" s="2"/>
      <c r="B2" s="2"/>
      <c r="C2" s="2"/>
      <c r="D2" s="2"/>
      <c r="E2" s="2" t="s">
        <v>12</v>
      </c>
      <c r="F2" s="2"/>
      <c r="G2" s="2" t="s">
        <v>33</v>
      </c>
      <c r="H2" s="10" t="s">
        <v>14</v>
      </c>
      <c r="I2" s="10" t="n">
        <v>1</v>
      </c>
      <c r="N2" s="2"/>
    </row>
    <row r="3" spans="1:12">
      <c r="A3" s="2"/>
      <c r="B3" s="2"/>
      <c r="C3" s="2"/>
      <c r="D3" s="2"/>
      <c r="E3" s="2"/>
      <c r="F3" s="2"/>
      <c r="G3" s="2" t="s">
        <v>34</v>
      </c>
      <c r="H3" s="10"/>
      <c r="I3" s="10"/>
      <c r="L3" s="12"/>
    </row>
    <row r="4" spans="1:12">
      <c r="A4" s="2"/>
      <c r="B4" s="2"/>
      <c r="C4" s="2"/>
      <c r="D4" s="2"/>
      <c r="E4" s="2"/>
      <c r="F4" s="2"/>
      <c r="G4" s="2"/>
      <c r="H4" s="10"/>
      <c r="I4" s="10"/>
      <c r="L4" s="12"/>
    </row>
    <row r="5" spans="1:11">
      <c r="A5" t="n">
        <v>0</v>
      </c>
      <c r="B5">
        <f>-4</f>
        <v>-4</v>
      </c>
      <c r="C5">
        <f>B5*B5</f>
        <v>16</v>
      </c>
      <c r="D5" s="16">
        <f>2*I$2*(I$5-C5)</f>
        <v>-27.7636191967390005</v>
      </c>
      <c r="E5" s="15" t="n">
        <v>0</v>
      </c>
      <c r="F5" s="12">
        <f>F6*(2-I$1^2*D6)-F7</f>
        <v>-8.583810711651398279E-16</v>
      </c>
      <c r="G5" s="17" t="b">
        <f>C5&gt;$I$5</f>
        <v>1</v>
      </c>
      <c r="H5" s="10" t="s">
        <v>16</v>
      </c>
      <c r="I5" s="23" t="n">
        <v>2.11819040163050998</v>
      </c>
      <c r="K5" s="23" t="n">
        <v>2.11819034960510022</v>
      </c>
    </row>
    <row r="6" spans="1:9">
      <c r="A6">
        <f>A5+1</f>
        <v>1</v>
      </c>
      <c r="B6">
        <f>B$5+A6*I$1</f>
        <v>-3.9</v>
      </c>
      <c r="C6">
        <f>B6*B6</f>
        <v>15.2100000000000009</v>
      </c>
      <c r="D6" s="16">
        <f>2*I$2*(I$5-C6)</f>
        <v>-26.1836191967389986</v>
      </c>
      <c r="E6" s="15">
        <f>1E-06</f>
        <v>9.999999999999999547E-07</v>
      </c>
      <c r="F6" s="12">
        <f>F7*(2-I$1^2*D7)-F8</f>
        <v>9.999999995428787195E-07</v>
      </c>
      <c r="G6" s="17" t="b">
        <f>C6&gt;$I$5</f>
        <v>1</v>
      </c>
      <c r="H6" s="10" t="s">
        <v>17</v>
      </c>
      <c r="I6" s="11">
        <f>SQRT(4.5)</f>
        <v>2.12132034355964016</v>
      </c>
    </row>
    <row r="7" spans="1:11">
      <c r="A7">
        <f>A6+1</f>
        <v>2</v>
      </c>
      <c r="B7">
        <f>B$5+A7*I$1</f>
        <v>-3.79999999999999982</v>
      </c>
      <c r="C7">
        <f>B7*B7</f>
        <v>14.4399999999999995</v>
      </c>
      <c r="D7" s="16">
        <f>2*I$2*(I$5-C7)</f>
        <v>-24.6436191967389995</v>
      </c>
      <c r="E7" s="12">
        <f>E6*(2-I$1^2*D6)-E5</f>
        <v>2.261836191967390171E-06</v>
      </c>
      <c r="F7" s="12">
        <f>F8*(2-I$1^2*D8)-F9</f>
        <v>2.261836191791837934E-06</v>
      </c>
      <c r="G7" s="17" t="b">
        <f>C7&gt;$I$5</f>
        <v>1</v>
      </c>
      <c r="H7" s="10" t="s">
        <v>19</v>
      </c>
      <c r="I7" s="11">
        <f>I6-I5</f>
        <v>0.00312994192913000013</v>
      </c>
      <c r="K7">
        <f>I5-K5</f>
        <v>5.202540975801639433E-08</v>
      </c>
    </row>
    <row r="8" spans="1:9">
      <c r="A8">
        <f>A7+1</f>
        <v>3</v>
      </c>
      <c r="B8">
        <f>B$5+A8*I$1</f>
        <v>-3.70000000000000018</v>
      </c>
      <c r="C8">
        <f>B8*B8</f>
        <v>13.6899999999999995</v>
      </c>
      <c r="D8" s="16">
        <f>2*I$2*(I$5-C8)</f>
        <v>-23.1436191967389995</v>
      </c>
      <c r="E8" s="12">
        <f>E7*(2-I$1^2*D7)-E6</f>
        <v>4.081070681937246652E-06</v>
      </c>
      <c r="F8" s="12">
        <f>F9*(2-I$1^2*D9)-F10</f>
        <v>4.081070682000000782E-06</v>
      </c>
      <c r="G8" s="17" t="b">
        <f>C8&gt;$I$5</f>
        <v>1</v>
      </c>
      <c r="H8" s="10"/>
      <c r="I8" s="11"/>
    </row>
    <row r="9" spans="1:7">
      <c r="A9">
        <f>A8+1</f>
        <v>4</v>
      </c>
      <c r="B9">
        <f>B$5+A9*I$1</f>
        <v>-3.60000000000000009</v>
      </c>
      <c r="C9">
        <f>B9*B9</f>
        <v>12.9600000000000009</v>
      </c>
      <c r="D9" s="16">
        <f>2*I$2*(I$5-C9)</f>
        <v>-21.6836191967389986</v>
      </c>
      <c r="E9" s="12">
        <f>E8*(2-I$1^2*D8)-E7</f>
        <v>6.844812629684419621E-06</v>
      </c>
      <c r="F9" s="12">
        <f>F10*(2-I$1^2*D10)-F11</f>
        <v>6.844812630000001228E-06</v>
      </c>
      <c r="G9" s="17" t="b">
        <f>C9&gt;$I$5</f>
        <v>1</v>
      </c>
    </row>
    <row r="10" spans="1:9">
      <c r="A10">
        <f>A9+1</f>
        <v>5</v>
      </c>
      <c r="B10">
        <f>B$5+A10*I$1</f>
        <v>-3.5</v>
      </c>
      <c r="C10">
        <f>B10*B10</f>
        <v>12.25</v>
      </c>
      <c r="D10" s="16">
        <f>2*I$2*(I$5-C10)</f>
        <v>-20.2636191967390005</v>
      </c>
      <c r="E10" s="12">
        <f>E9*(2-I$1^2*D9)-E8</f>
        <v>0.0000110927576830000008</v>
      </c>
      <c r="F10" s="12">
        <f>F11*(2-I$1^2*D11)-F12</f>
        <v>0.0000110927576830000008</v>
      </c>
      <c r="G10" s="17" t="b">
        <f>C10&gt;$I$5</f>
        <v>1</v>
      </c>
      <c r="H10" t="s">
        <v>35</v>
      </c>
      <c r="I10" s="22">
        <f>K60-J60</f>
        <v>0</v>
      </c>
    </row>
    <row r="11" spans="1:9">
      <c r="A11">
        <f>A10+1</f>
        <v>6</v>
      </c>
      <c r="B11">
        <f>B$5+A11*I$1</f>
        <v>-3.39999999999999991</v>
      </c>
      <c r="C11">
        <f>B11*B11</f>
        <v>11.5600000000000005</v>
      </c>
      <c r="D11" s="16">
        <f>2*I$2*(I$5-C11)</f>
        <v>-18.8836191967390015</v>
      </c>
      <c r="E11" s="12">
        <f>E10*(2-I$1^2*D10)-E9</f>
        <v>0.000017588496911</v>
      </c>
      <c r="F11" s="12">
        <f>F12*(2-I$1^2*D12)-F13</f>
        <v>0.000017588496911</v>
      </c>
      <c r="G11" s="17" t="b">
        <f>C11&gt;$I$5</f>
        <v>1</v>
      </c>
      <c r="H11" t="s">
        <v>36</v>
      </c>
      <c r="I11" s="22">
        <f>M60-L60</f>
        <v>0</v>
      </c>
    </row>
    <row r="12" spans="1:7">
      <c r="A12">
        <f>A11+1</f>
        <v>7</v>
      </c>
      <c r="B12">
        <f>B$5+A12*I$1</f>
        <v>-3.29999999999999982</v>
      </c>
      <c r="C12">
        <f>B12*B12</f>
        <v>10.8900000000000006</v>
      </c>
      <c r="D12" s="16">
        <f>2*I$2*(I$5-C12)</f>
        <v>-17.5436191967390016</v>
      </c>
      <c r="E12" s="12">
        <f>E11*(2-I$1^2*D11)-E10</f>
        <v>0.000027405580918000001</v>
      </c>
      <c r="F12" s="12">
        <f>F13*(2-I$1^2*D13)-F14</f>
        <v>0.000027405580918000001</v>
      </c>
      <c r="G12" s="17" t="b">
        <f>C12&gt;$I$5</f>
        <v>1</v>
      </c>
    </row>
    <row r="13" spans="1:7">
      <c r="A13">
        <f>A12+1</f>
        <v>8</v>
      </c>
      <c r="B13">
        <f>B$5+A13*I$1</f>
        <v>-3.20000000000000018</v>
      </c>
      <c r="C13">
        <f>B13*B13</f>
        <v>10.2400000000000002</v>
      </c>
      <c r="D13" s="16">
        <f>2*I$2*(I$5-C13)</f>
        <v>-16.2436191967390009</v>
      </c>
      <c r="E13" s="12">
        <f>E12*(2-I$1^2*D12)-E11</f>
        <v>0.0000420305956799999958</v>
      </c>
      <c r="F13" s="12">
        <f>F14*(2-I$1^2*D14)-F15</f>
        <v>0.0000420305956799999958</v>
      </c>
      <c r="G13" s="17" t="b">
        <f>C13&gt;$I$5</f>
        <v>1</v>
      </c>
    </row>
    <row r="14" spans="1:7">
      <c r="A14">
        <f>A13+1</f>
        <v>9</v>
      </c>
      <c r="B14">
        <f>B$5+A14*I$1</f>
        <v>-3.10000000000000009</v>
      </c>
      <c r="C14">
        <f>B14*B14</f>
        <v>9.60999999999999943</v>
      </c>
      <c r="D14" s="16">
        <f>2*I$2*(I$5-C14)</f>
        <v>-14.9836191967389993</v>
      </c>
      <c r="E14" s="12">
        <f>E13*(2-I$1^2*D13)-E12</f>
        <v>0.00006348290034999998</v>
      </c>
      <c r="F14" s="12">
        <f>F15*(2-I$1^2*D15)-F16</f>
        <v>0.00006348290034999998</v>
      </c>
      <c r="G14" s="17" t="b">
        <f>C14&gt;$I$5</f>
        <v>1</v>
      </c>
    </row>
    <row r="15" spans="1:7">
      <c r="A15">
        <f>A14+1</f>
        <v>10</v>
      </c>
      <c r="B15">
        <f>B$5+A15*I$1</f>
        <v>-3</v>
      </c>
      <c r="C15">
        <f>B15*B15</f>
        <v>9</v>
      </c>
      <c r="D15" s="16">
        <f>2*I$2*(I$5-C15)</f>
        <v>-13.7636191967390005</v>
      </c>
      <c r="E15" s="12">
        <f>E14*(2-I$1^2*D14)-E13</f>
        <v>0.000094447241063000007</v>
      </c>
      <c r="F15" s="12">
        <f>F16*(2-I$1^2*D16)-F17</f>
        <v>0.000094447241063000007</v>
      </c>
      <c r="G15" s="17" t="b">
        <f>C15&gt;$I$5</f>
        <v>1</v>
      </c>
    </row>
    <row r="16" spans="1:7">
      <c r="A16">
        <f>A15+1</f>
        <v>11</v>
      </c>
      <c r="B16">
        <f>B$5+A16*I$1</f>
        <v>-2.9</v>
      </c>
      <c r="C16">
        <f>B16*B16</f>
        <v>8.41000000000000014</v>
      </c>
      <c r="D16" s="16">
        <f>2*I$2*(I$5-C16)</f>
        <v>-12.5836191967390008</v>
      </c>
      <c r="E16" s="12">
        <f>E15*(2-I$1^2*D15)-E14</f>
        <v>0.000138410940378000014</v>
      </c>
      <c r="F16" s="12">
        <f>F17*(2-I$1^2*D17)-F18</f>
        <v>0.000138410940378000014</v>
      </c>
      <c r="G16" s="17" t="b">
        <f>C16&gt;$I$5</f>
        <v>1</v>
      </c>
    </row>
    <row r="17" spans="1:7">
      <c r="A17">
        <f>A16+1</f>
        <v>12</v>
      </c>
      <c r="B17">
        <f>B$5+A17*I$1</f>
        <v>-2.79999999999999982</v>
      </c>
      <c r="C17">
        <f>B17*B17</f>
        <v>7.83999999999999986</v>
      </c>
      <c r="D17" s="16">
        <f>2*I$2*(I$5-C17)</f>
        <v>-11.4436191967390002</v>
      </c>
      <c r="E17" s="12">
        <f>E16*(2-I$1^2*D16)-E15</f>
        <v>0.000199791745356999968</v>
      </c>
      <c r="F17" s="12">
        <f>F18*(2-I$1^2*D18)-F19</f>
        <v>0.000199791745356999968</v>
      </c>
      <c r="G17" s="17" t="b">
        <f>C17&gt;$I$5</f>
        <v>1</v>
      </c>
    </row>
    <row r="18" spans="1:7">
      <c r="A18">
        <f>A17+1</f>
        <v>13</v>
      </c>
      <c r="B18">
        <f>B$5+A18*I$1</f>
        <v>-2.70000000000000018</v>
      </c>
      <c r="C18">
        <f>B18*B18</f>
        <v>7.29000000000000004</v>
      </c>
      <c r="D18" s="16">
        <f>2*I$2*(I$5-C18)</f>
        <v>-10.3436191967390005</v>
      </c>
      <c r="E18" s="12">
        <f>E17*(2-I$1^2*D17)-E16</f>
        <v>0.000284035956861000027</v>
      </c>
      <c r="F18" s="12">
        <f>F19*(2-I$1^2*D19)-F20</f>
        <v>0.000284035956861000027</v>
      </c>
      <c r="G18" s="17" t="b">
        <f>C18&gt;$I$5</f>
        <v>1</v>
      </c>
    </row>
    <row r="19" spans="1:7">
      <c r="A19">
        <f>A18+1</f>
        <v>14</v>
      </c>
      <c r="B19">
        <f>B$5+A19*I$1</f>
        <v>-2.60000000000000009</v>
      </c>
      <c r="C19">
        <f>B19*B19</f>
        <v>6.75999999999999979</v>
      </c>
      <c r="D19" s="16">
        <f>2*I$2*(I$5-C19)</f>
        <v>-9.28361919673898051</v>
      </c>
      <c r="E19" s="12">
        <f>E18*(2-I$1^2*D18)-E17</f>
        <v>0.000397659766125000047</v>
      </c>
      <c r="F19" s="12">
        <f>F20*(2-I$1^2*D20)-F21</f>
        <v>0.000397659766125000047</v>
      </c>
      <c r="G19" s="17" t="b">
        <f>C19&gt;$I$5</f>
        <v>1</v>
      </c>
    </row>
    <row r="20" spans="1:7">
      <c r="A20">
        <f>A19+1</f>
        <v>15</v>
      </c>
      <c r="B20">
        <f>B$5+A20*I$1</f>
        <v>-2.5</v>
      </c>
      <c r="C20">
        <f>B20*B20</f>
        <v>6.25</v>
      </c>
      <c r="D20" s="16">
        <f>2*I$2*(I$5-C20)</f>
        <v>-8.26361919673897916</v>
      </c>
      <c r="E20" s="12">
        <f>E19*(2-I$1^2*D19)-E18</f>
        <v>0.000548200793775000061</v>
      </c>
      <c r="F20" s="12">
        <f>F21*(2-I$1^2*D21)-F22</f>
        <v>0.000548200793775000061</v>
      </c>
      <c r="G20" s="17" t="b">
        <f>C20&gt;$I$5</f>
        <v>1</v>
      </c>
    </row>
    <row r="21" spans="1:7">
      <c r="A21">
        <f>A20+1</f>
        <v>16</v>
      </c>
      <c r="B21">
        <f>B$5+A21*I$1</f>
        <v>-2.39999999999999991</v>
      </c>
      <c r="C21">
        <f>B21*B21</f>
        <v>5.75999999999999979</v>
      </c>
      <c r="D21" s="16">
        <f>2*I$2*(I$5-C21)</f>
        <v>-7.28361919673897962</v>
      </c>
      <c r="E21" s="12">
        <f>E20*(2-I$1^2*D20)-E19</f>
        <v>0.00074404304745599994</v>
      </c>
      <c r="F21" s="12">
        <f>F22*(2-I$1^2*D22)-F23</f>
        <v>0.00074404304745599994</v>
      </c>
      <c r="G21" s="17" t="b">
        <f>C21&gt;$I$5</f>
        <v>1</v>
      </c>
    </row>
    <row r="22" spans="1:7">
      <c r="A22">
        <f>A21+1</f>
        <v>17</v>
      </c>
      <c r="B22">
        <f>B$5+A22*I$1</f>
        <v>-2.29999999999999982</v>
      </c>
      <c r="C22">
        <f>B22*B22</f>
        <v>5.29000000000000004</v>
      </c>
      <c r="D22" s="16">
        <f>2*I$2*(I$5-C22)</f>
        <v>-6.34361919673898011</v>
      </c>
      <c r="E22" s="12">
        <f>E21*(2-I$1^2*D21)-E20</f>
        <v>0.00099407856337400009</v>
      </c>
      <c r="F22" s="12">
        <f>F23*(2-I$1^2*D23)-F24</f>
        <v>0.00099407856337400009</v>
      </c>
      <c r="G22" s="17" t="b">
        <f>C22&gt;$I$5</f>
        <v>1</v>
      </c>
    </row>
    <row r="23" spans="1:7">
      <c r="A23">
        <f>A22+1</f>
        <v>18</v>
      </c>
      <c r="B23">
        <f>B$5+A23*I$1</f>
        <v>-2.20000000000000018</v>
      </c>
      <c r="C23">
        <f>B23*B23</f>
        <v>4.83999999999999986</v>
      </c>
      <c r="D23" s="16">
        <f>2*I$2*(I$5-C23)</f>
        <v>-5.44361919673897976</v>
      </c>
      <c r="E23" s="12">
        <f>E22*(2-I$1^2*D22)-E21</f>
        <v>0.0013071746378689999</v>
      </c>
      <c r="F23" s="12">
        <f>F24*(2-I$1^2*D24)-F25</f>
        <v>0.0013071746378689999</v>
      </c>
      <c r="G23" s="17" t="b">
        <f>C23&gt;$I$5</f>
        <v>1</v>
      </c>
    </row>
    <row r="24" spans="1:7">
      <c r="A24">
        <f>A23+1</f>
        <v>19</v>
      </c>
      <c r="B24">
        <f>B$5+A24*I$1</f>
        <v>-2.10000000000000009</v>
      </c>
      <c r="C24">
        <f>B24*B24</f>
        <v>4.41000000000000014</v>
      </c>
      <c r="D24" s="16">
        <f>2*I$2*(I$5-C24)</f>
        <v>-4.58361919673898033</v>
      </c>
      <c r="E24" s="12">
        <f>E23*(2-I$1^2*D23)-E22</f>
        <v>0.00169142832188600023</v>
      </c>
      <c r="F24" s="12">
        <f>F25*(2-I$1^2*D25)-F26</f>
        <v>0.00169142832188600023</v>
      </c>
      <c r="G24" s="17" t="b">
        <f>C24&gt;$I$5</f>
        <v>1</v>
      </c>
    </row>
    <row r="25" spans="1:7">
      <c r="A25">
        <f>A24+1</f>
        <v>20</v>
      </c>
      <c r="B25">
        <f>B$5+A25*I$1</f>
        <v>-2</v>
      </c>
      <c r="C25">
        <f>B25*B25</f>
        <v>4</v>
      </c>
      <c r="D25" s="16">
        <f>2*I$2*(I$5-C25)</f>
        <v>-3.76361919673898004</v>
      </c>
      <c r="E25" s="12">
        <f>E24*(2-I$1^2*D24)-E23</f>
        <v>0.00215321063916400002</v>
      </c>
      <c r="F25" s="12">
        <f>F26*(2-I$1^2*D26)-F27</f>
        <v>0.00215321063916400002</v>
      </c>
      <c r="G25" s="17" t="b">
        <f>C25&gt;$I$5</f>
        <v>1</v>
      </c>
    </row>
    <row r="26" spans="1:7">
      <c r="A26">
        <f>A25+1</f>
        <v>21</v>
      </c>
      <c r="B26">
        <f>B$5+A26*I$1</f>
        <v>-1.9</v>
      </c>
      <c r="C26">
        <f>B26*B26</f>
        <v>3.60999999999999988</v>
      </c>
      <c r="D26" s="16">
        <f>2*I$2*(I$5-C26)</f>
        <v>-2.9836191967389798</v>
      </c>
      <c r="E26" s="12">
        <f>E25*(2-I$1^2*D25)-E24</f>
        <v>0.00269603160540400033</v>
      </c>
      <c r="F26" s="12">
        <f>F27*(2-I$1^2*D27)-F28</f>
        <v>0.00269603160540400033</v>
      </c>
      <c r="G26" s="17" t="b">
        <f>C26&gt;$I$5</f>
        <v>1</v>
      </c>
    </row>
    <row r="27" spans="1:7">
      <c r="A27">
        <f>A26+1</f>
        <v>22</v>
      </c>
      <c r="B27">
        <f>B$5+A27*I$1</f>
        <v>-1.8</v>
      </c>
      <c r="C27">
        <f>B27*B27</f>
        <v>3.24000000000000021</v>
      </c>
      <c r="D27" s="16">
        <f>2*I$2*(I$5-C27)</f>
        <v>-2.24361919673898003</v>
      </c>
      <c r="E27" s="12">
        <f>E26*(2-I$1^2*D26)-E25</f>
        <v>0.00331929188817299936</v>
      </c>
      <c r="F27" s="12">
        <f>F28*(2-I$1^2*D28)-F29</f>
        <v>0.00331929188817299936</v>
      </c>
      <c r="G27" s="17" t="b">
        <f>C27&gt;$I$5</f>
        <v>1</v>
      </c>
    </row>
    <row r="28" spans="1:7">
      <c r="A28">
        <f>A27+1</f>
        <v>23</v>
      </c>
      <c r="B28">
        <f>B$5+A28*I$1</f>
        <v>-1.7</v>
      </c>
      <c r="C28">
        <f>B28*B28</f>
        <v>2.89000000000000021</v>
      </c>
      <c r="D28" s="16">
        <f>2*I$2*(I$5-C28)</f>
        <v>-1.54361919673898011</v>
      </c>
      <c r="E28" s="12">
        <f>E27*(2-I$1^2*D27)-E26</f>
        <v>0.00401702444094100031</v>
      </c>
      <c r="F28" s="12">
        <f>F29*(2-I$1^2*D29)-F30</f>
        <v>0.00401702444094100031</v>
      </c>
      <c r="G28" s="17" t="b">
        <f>C28&gt;$I$5</f>
        <v>1</v>
      </c>
    </row>
    <row r="29" spans="1:7">
      <c r="A29">
        <f>A28+1</f>
        <v>24</v>
      </c>
      <c r="B29">
        <f>B$5+A29*I$1</f>
        <v>-1.60000000000000009</v>
      </c>
      <c r="C29">
        <f>B29*B29</f>
        <v>2.56000000000000005</v>
      </c>
      <c r="D29" s="16">
        <f>2*I$2*(I$5-C29)</f>
        <v>-0.883619196738979973</v>
      </c>
      <c r="E29" s="12">
        <f>E28*(2-I$1^2*D28)-E27</f>
        <v>0.00477676455411699941</v>
      </c>
      <c r="F29" s="12">
        <f>F30*(2-I$1^2*D30)-F31</f>
        <v>0.00477676455411699941</v>
      </c>
      <c r="G29" s="17" t="b">
        <f>C29&gt;$I$5</f>
        <v>1</v>
      </c>
    </row>
    <row r="30" spans="1:7">
      <c r="A30">
        <f>A29+1</f>
        <v>25</v>
      </c>
      <c r="B30">
        <f>B$5+A30*I$1</f>
        <v>-1.5</v>
      </c>
      <c r="C30">
        <f>B30*B30</f>
        <v>2.25</v>
      </c>
      <c r="D30" s="16">
        <f>2*I$2*(I$5-C30)</f>
        <v>-0.263619196738979999</v>
      </c>
      <c r="E30" s="12">
        <f>E29*(2-I$1^2*D29)-E28</f>
        <v>0.00557871307587599929</v>
      </c>
      <c r="F30" s="12">
        <f>F31*(2-I$1^2*D31)-F32</f>
        <v>0.00557871307587599929</v>
      </c>
      <c r="G30" s="17" t="b">
        <f>C30&gt;$I$5</f>
        <v>1</v>
      </c>
    </row>
    <row r="31" spans="1:7">
      <c r="A31">
        <f>A30+1</f>
        <v>26</v>
      </c>
      <c r="B31">
        <f>B$5+A31*I$1</f>
        <v>-1.39999999999999991</v>
      </c>
      <c r="C31">
        <f>B31*B31</f>
        <v>1.95999999999999996</v>
      </c>
      <c r="D31" s="16">
        <f>2*I$2*(I$5-C31)</f>
        <v>0.316380803261020027</v>
      </c>
      <c r="E31" s="12">
        <f>E30*(2-I$1^2*D30)-E29</f>
        <v>0.00639536815623399946</v>
      </c>
      <c r="F31" s="12">
        <f>F32*(2-I$1^2*D32)-F33</f>
        <v>0.00639536815623399946</v>
      </c>
      <c r="G31" s="17" t="b">
        <f>C31&gt;$I$5</f>
        <v>0</v>
      </c>
    </row>
    <row r="32" spans="1:7">
      <c r="A32">
        <f>A31+1</f>
        <v>27</v>
      </c>
      <c r="B32">
        <f>B$5+A32*I$1</f>
        <v>-1.30000000000000004</v>
      </c>
      <c r="C32">
        <f>B32*B32</f>
        <v>1.68999999999999995</v>
      </c>
      <c r="D32" s="16">
        <f>2*I$2*(I$5-C32)</f>
        <v>0.856380803261019885</v>
      </c>
      <c r="E32" s="12">
        <f>E31*(2-I$1^2*D31)-E30</f>
        <v>0.00719178951944799927</v>
      </c>
      <c r="F32" s="12">
        <f>F33*(2-I$1^2*D33)-F34</f>
        <v>0.00719178951944799927</v>
      </c>
      <c r="G32" s="17" t="b">
        <f>C32&gt;$I$5</f>
        <v>0</v>
      </c>
    </row>
    <row r="33" spans="1:7">
      <c r="A33">
        <f>A32+1</f>
        <v>28</v>
      </c>
      <c r="B33">
        <f>B$5+A33*I$1</f>
        <v>-1.19999999999999996</v>
      </c>
      <c r="C33">
        <f>B33*B33</f>
        <v>1.43999999999999995</v>
      </c>
      <c r="D33" s="16">
        <f>2*I$2*(I$5-C33)</f>
        <v>1.35638080326102006</v>
      </c>
      <c r="E33" s="12">
        <f>E32*(2-I$1^2*D32)-E31</f>
        <v>0.00792662177780699917</v>
      </c>
      <c r="F33" s="12">
        <f>F34*(2-I$1^2*D34)-F35</f>
        <v>0.00792662177780699917</v>
      </c>
      <c r="G33" s="17" t="b">
        <f>C33&gt;$I$5</f>
        <v>0</v>
      </c>
    </row>
    <row r="34" spans="1:7">
      <c r="A34">
        <f>A33+1</f>
        <v>29</v>
      </c>
      <c r="B34">
        <f>B$5+A34*I$1</f>
        <v>-1.10000000000000009</v>
      </c>
      <c r="C34">
        <f>B34*B34</f>
        <v>1.20999999999999996</v>
      </c>
      <c r="D34" s="16">
        <f>2*I$2*(I$5-C34)</f>
        <v>1.81638080326102003</v>
      </c>
      <c r="E34" s="12">
        <f>E33*(2-I$1^2*D33)-E32</f>
        <v>0.00855393886002499926</v>
      </c>
      <c r="F34" s="12">
        <f>F35*(2-I$1^2*D35)-F36</f>
        <v>0.00855393886002499926</v>
      </c>
      <c r="G34" s="17" t="b">
        <f>C34&gt;$I$5</f>
        <v>0</v>
      </c>
    </row>
    <row r="35" spans="1:7">
      <c r="A35">
        <f>A34+1</f>
        <v>30</v>
      </c>
      <c r="B35">
        <f>B$5+A35*I$1</f>
        <v>-1</v>
      </c>
      <c r="C35">
        <f>B35*B35</f>
        <v>1</v>
      </c>
      <c r="D35" s="16">
        <f>2*I$2*(I$5-C35)</f>
        <v>2.23638080326101996</v>
      </c>
      <c r="E35" s="12">
        <f>E34*(2-I$1^2*D34)-E33</f>
        <v>0.00902588383886700107</v>
      </c>
      <c r="F35" s="12">
        <f>F36*(2-I$1^2*D36)-F37</f>
        <v>0.00902588383886700107</v>
      </c>
      <c r="G35" s="17" t="b">
        <f>C35&gt;$I$5</f>
        <v>0</v>
      </c>
    </row>
    <row r="36" spans="1:7">
      <c r="A36">
        <f>A35+1</f>
        <v>31</v>
      </c>
      <c r="B36">
        <f>B$5+A36*I$1</f>
        <v>-0.9</v>
      </c>
      <c r="C36">
        <f>B36*B36</f>
        <v>0.810000000000000142</v>
      </c>
      <c r="D36" s="16">
        <f>2*I$2*(I$5-C36)</f>
        <v>2.61638080326101985</v>
      </c>
      <c r="E36" s="12">
        <f>E35*(2-I$1^2*D35)-E34</f>
        <v>0.00929597568421199938</v>
      </c>
      <c r="F36" s="12">
        <f>F37*(2-I$1^2*D37)-F38</f>
        <v>0.00929597568421199938</v>
      </c>
      <c r="G36" s="17" t="b">
        <f>C36&gt;$I$5</f>
        <v>0</v>
      </c>
    </row>
    <row r="37" spans="1:7">
      <c r="A37">
        <f>A36+1</f>
        <v>32</v>
      </c>
      <c r="B37">
        <f>B$5+A37*I$1</f>
        <v>-0.8</v>
      </c>
      <c r="C37">
        <f>B37*B37</f>
        <v>0.640000000000000036</v>
      </c>
      <c r="D37" s="16">
        <f>2*I$2*(I$5-C37)</f>
        <v>2.95638080326102006</v>
      </c>
      <c r="E37" s="12">
        <f>E36*(2-I$1^2*D36)-E35</f>
        <v>0.0093228494062789995</v>
      </c>
      <c r="F37" s="12">
        <f>F38*(2-I$1^2*D38)-F39</f>
        <v>0.0093228494062789995</v>
      </c>
      <c r="G37" s="17" t="b">
        <f>C37&gt;$I$5</f>
        <v>0</v>
      </c>
    </row>
    <row r="38" spans="1:7">
      <c r="A38">
        <f>A37+1</f>
        <v>33</v>
      </c>
      <c r="B38">
        <f>B$5+A38*I$1</f>
        <v>-0.7</v>
      </c>
      <c r="C38">
        <f>B38*B38</f>
        <v>0.490000000000000036</v>
      </c>
      <c r="D38" s="16">
        <f>2*I$2*(I$5-C38)</f>
        <v>3.25638080326101997</v>
      </c>
      <c r="E38" s="12">
        <f>E37*(2-I$1^2*D37)-E36</f>
        <v>0.00907410419818199898</v>
      </c>
      <c r="F38" s="12">
        <f>F39*(2-I$1^2*D39)-F40</f>
        <v>0.00907410419818199898</v>
      </c>
      <c r="G38" s="17" t="b">
        <f>C38&gt;$I$5</f>
        <v>0</v>
      </c>
    </row>
    <row r="39" spans="1:7">
      <c r="A39">
        <f>A38+1</f>
        <v>34</v>
      </c>
      <c r="B39">
        <f>B$5+A39*I$1</f>
        <v>-0.6</v>
      </c>
      <c r="C39">
        <f>B39*B39</f>
        <v>0.359999999999999964</v>
      </c>
      <c r="D39" s="16">
        <f>2*I$2*(I$5-C39)</f>
        <v>3.5163808032610202</v>
      </c>
      <c r="E39" s="12">
        <f>E38*(2-I$1^2*D38)-E37</f>
        <v>0.00852987160290799906</v>
      </c>
      <c r="F39" s="12">
        <f>F40*(2-I$1^2*D40)-F41</f>
        <v>0.00852987160290799906</v>
      </c>
      <c r="G39" s="17" t="b">
        <f>C39&gt;$I$5</f>
        <v>0</v>
      </c>
    </row>
    <row r="40" spans="1:7">
      <c r="A40">
        <f>A39+1</f>
        <v>35</v>
      </c>
      <c r="B40">
        <f>B$5+A40*I$1</f>
        <v>-0.5</v>
      </c>
      <c r="C40">
        <f>B40*B40</f>
        <v>0.25</v>
      </c>
      <c r="D40" s="16">
        <f>2*I$2*(I$5-C40)</f>
        <v>3.73638080326101996</v>
      </c>
      <c r="E40" s="12">
        <f>E39*(2-I$1^2*D39)-E38</f>
        <v>0.00768569624004700103</v>
      </c>
      <c r="F40" s="12">
        <f>F41*(2-I$1^2*D41)-F42</f>
        <v>0.00768569624004700103</v>
      </c>
      <c r="G40" s="17" t="b">
        <f>C40&gt;$I$5</f>
        <v>0</v>
      </c>
    </row>
    <row r="41" spans="1:7">
      <c r="A41">
        <f>A40+1</f>
        <v>36</v>
      </c>
      <c r="B41">
        <f>B$5+A41*I$1</f>
        <v>-0.4</v>
      </c>
      <c r="C41">
        <f>B41*B41</f>
        <v>0.160000000000000009</v>
      </c>
      <c r="D41" s="16">
        <f>2*I$2*(I$5-C41)</f>
        <v>3.9163808032610202</v>
      </c>
      <c r="E41" s="12">
        <f>E40*(2-I$1^2*D40)-E39</f>
        <v>0.00655435399827599952</v>
      </c>
      <c r="F41" s="12">
        <f>F42*(2-I$1^2*D42)-F43</f>
        <v>0.00655435399827599952</v>
      </c>
      <c r="G41" s="17" t="b">
        <f>C41&gt;$I$5</f>
        <v>0</v>
      </c>
    </row>
    <row r="42" spans="1:7">
      <c r="A42">
        <f>A41+1</f>
        <v>37</v>
      </c>
      <c r="B42">
        <f>B$5+A42*I$1</f>
        <v>-0.3</v>
      </c>
      <c r="C42">
        <f>B42*B42</f>
        <v>0.09</v>
      </c>
      <c r="D42" s="16">
        <f>2*I$2*(I$5-C42)</f>
        <v>4.05638080326102024</v>
      </c>
      <c r="E42" s="12">
        <f>E41*(2-I$1^2*D41)-E40</f>
        <v>0.00516631829473900073</v>
      </c>
      <c r="F42" s="12">
        <f>F43*(2-I$1^2*D43)-F44</f>
        <v>0.00516631829473900073</v>
      </c>
      <c r="G42" s="17" t="b">
        <f>C42&gt;$I$5</f>
        <v>0</v>
      </c>
    </row>
    <row r="43" spans="1:7">
      <c r="A43">
        <f>A42+1</f>
        <v>38</v>
      </c>
      <c r="B43">
        <f>B$5+A43*I$1</f>
        <v>-0.2</v>
      </c>
      <c r="C43">
        <f>B43*B43</f>
        <v>0.04</v>
      </c>
      <c r="D43" s="16">
        <f>2*I$2*(I$5-C43)</f>
        <v>4.15638080326101989</v>
      </c>
      <c r="E43" s="12">
        <f>E42*(2-I$1^2*D42)-E41</f>
        <v>0.00356871704765900022</v>
      </c>
      <c r="F43" s="12">
        <f>F44*(2-I$1^2*D44)-F45</f>
        <v>0.00356871704765900022</v>
      </c>
      <c r="G43" s="17" t="b">
        <f>C43&gt;$I$5</f>
        <v>0</v>
      </c>
    </row>
    <row r="44" spans="1:7">
      <c r="A44">
        <f>A43+1</f>
        <v>39</v>
      </c>
      <c r="B44">
        <f>B$5+A44*I$1</f>
        <v>-0.1</v>
      </c>
      <c r="C44">
        <f>B44*B44</f>
        <v>0.01</v>
      </c>
      <c r="D44" s="16">
        <f>2*I$2*(I$5-C44)</f>
        <v>4.21638080326102038</v>
      </c>
      <c r="E44" s="12">
        <f>E43*(2-I$1^2*D43)-E42</f>
        <v>0.00182278633028700021</v>
      </c>
      <c r="F44" s="12">
        <f>F45*(2-I$1^2*D45)-F46</f>
        <v>0.00182278633028700021</v>
      </c>
      <c r="G44" s="17" t="b">
        <f>C44&gt;$I$5</f>
        <v>0</v>
      </c>
    </row>
    <row r="45" spans="1:7">
      <c r="A45">
        <f>A44+1</f>
        <v>40</v>
      </c>
      <c r="B45">
        <f>B$5+A45*I$1</f>
        <v>0</v>
      </c>
      <c r="C45">
        <f>B45*B45</f>
        <v>0</v>
      </c>
      <c r="D45" s="16">
        <f>2*I$2*(I$5-C45)</f>
        <v>4.23638080326101996</v>
      </c>
      <c r="E45" s="12">
        <f>E44*(2-I$1^2*D44)-E43</f>
        <v>0</v>
      </c>
      <c r="F45" s="12">
        <f>F46*(2-I$1^2*D46)-F47</f>
        <v>0</v>
      </c>
      <c r="G45" s="17" t="b">
        <f>C45&gt;$I$5</f>
        <v>0</v>
      </c>
    </row>
    <row r="46" spans="1:7">
      <c r="A46">
        <f>A45+1</f>
        <v>41</v>
      </c>
      <c r="B46">
        <f>B$5+A46*I$1</f>
        <v>0.1</v>
      </c>
      <c r="C46">
        <f>B46*B46</f>
        <v>0.01</v>
      </c>
      <c r="D46" s="16">
        <f>2*I$2*(I$5-C46)</f>
        <v>4.21638080326102038</v>
      </c>
      <c r="E46" s="12">
        <f>E45*(2-I$1^2*D45)-E44</f>
        <v>-0.00182278633028700021</v>
      </c>
      <c r="F46" s="12">
        <f>F47*(2-I$1^2*D47)-F48</f>
        <v>-0.00182278633028700021</v>
      </c>
      <c r="G46" s="17" t="b">
        <f>C46&gt;$I$5</f>
        <v>0</v>
      </c>
    </row>
    <row r="47" spans="1:7">
      <c r="A47">
        <f>A46+1</f>
        <v>42</v>
      </c>
      <c r="B47">
        <f>B$5+A47*I$1</f>
        <v>0.2</v>
      </c>
      <c r="C47">
        <f>B47*B47</f>
        <v>0.04</v>
      </c>
      <c r="D47" s="16">
        <f>2*I$2*(I$5-C47)</f>
        <v>4.15638080326101989</v>
      </c>
      <c r="E47" s="12">
        <f>E46*(2-I$1^2*D46)-E45</f>
        <v>-0.00356871704765900022</v>
      </c>
      <c r="F47" s="12">
        <f>F48*(2-I$1^2*D48)-F49</f>
        <v>-0.00356871704765900022</v>
      </c>
      <c r="G47" s="17" t="b">
        <f>C47&gt;$I$5</f>
        <v>0</v>
      </c>
    </row>
    <row r="48" spans="1:7">
      <c r="A48">
        <f>A47+1</f>
        <v>43</v>
      </c>
      <c r="B48">
        <f>B$5+A48*I$1</f>
        <v>0.3</v>
      </c>
      <c r="C48">
        <f>B48*B48</f>
        <v>0.09</v>
      </c>
      <c r="D48" s="16">
        <f>2*I$2*(I$5-C48)</f>
        <v>4.05638080326102024</v>
      </c>
      <c r="E48" s="12">
        <f>E47*(2-I$1^2*D47)-E46</f>
        <v>-0.00516631829473900073</v>
      </c>
      <c r="F48" s="12">
        <f>F49*(2-I$1^2*D49)-F50</f>
        <v>-0.00516631829473900073</v>
      </c>
      <c r="G48" s="17" t="b">
        <f>C48&gt;$I$5</f>
        <v>0</v>
      </c>
    </row>
    <row r="49" spans="1:7">
      <c r="A49">
        <f>A48+1</f>
        <v>44</v>
      </c>
      <c r="B49">
        <f>B$5+A49*I$1</f>
        <v>0.4</v>
      </c>
      <c r="C49">
        <f>B49*B49</f>
        <v>0.160000000000000009</v>
      </c>
      <c r="D49" s="16">
        <f>2*I$2*(I$5-C49)</f>
        <v>3.9163808032610202</v>
      </c>
      <c r="E49" s="12">
        <f>E48*(2-I$1^2*D48)-E47</f>
        <v>-0.00655435399827599952</v>
      </c>
      <c r="F49" s="12">
        <f>F50*(2-I$1^2*D50)-F51</f>
        <v>-0.00655435399827599952</v>
      </c>
      <c r="G49" s="17" t="b">
        <f>C49&gt;$I$5</f>
        <v>0</v>
      </c>
    </row>
    <row r="50" spans="1:7">
      <c r="A50">
        <f>A49+1</f>
        <v>45</v>
      </c>
      <c r="B50">
        <f>B$5+A50*I$1</f>
        <v>0.5</v>
      </c>
      <c r="C50">
        <f>B50*B50</f>
        <v>0.25</v>
      </c>
      <c r="D50" s="16">
        <f>2*I$2*(I$5-C50)</f>
        <v>3.73638080326101996</v>
      </c>
      <c r="E50" s="12">
        <f>E49*(2-I$1^2*D49)-E48</f>
        <v>-0.00768569624004700103</v>
      </c>
      <c r="F50" s="12">
        <f>F51*(2-I$1^2*D51)-F52</f>
        <v>-0.00768569624004700103</v>
      </c>
      <c r="G50" s="17" t="b">
        <f>C50&gt;$I$5</f>
        <v>0</v>
      </c>
    </row>
    <row r="51" spans="1:7">
      <c r="A51">
        <f>A50+1</f>
        <v>46</v>
      </c>
      <c r="B51">
        <f>B$5+A51*I$1</f>
        <v>0.6</v>
      </c>
      <c r="C51">
        <f>B51*B51</f>
        <v>0.359999999999999964</v>
      </c>
      <c r="D51" s="16">
        <f>2*I$2*(I$5-C51)</f>
        <v>3.5163808032610202</v>
      </c>
      <c r="E51" s="12">
        <f>E50*(2-I$1^2*D50)-E49</f>
        <v>-0.00852987160290799906</v>
      </c>
      <c r="F51" s="12">
        <f>F52*(2-I$1^2*D52)-F53</f>
        <v>-0.00852987160290799906</v>
      </c>
      <c r="G51" s="17" t="b">
        <f>C51&gt;$I$5</f>
        <v>0</v>
      </c>
    </row>
    <row r="52" spans="1:7">
      <c r="A52">
        <f>A51+1</f>
        <v>47</v>
      </c>
      <c r="B52">
        <f>B$5+A52*I$1</f>
        <v>0.7</v>
      </c>
      <c r="C52">
        <f>B52*B52</f>
        <v>0.490000000000000036</v>
      </c>
      <c r="D52" s="16">
        <f>2*I$2*(I$5-C52)</f>
        <v>3.25638080326101997</v>
      </c>
      <c r="E52" s="12">
        <f>E51*(2-I$1^2*D51)-E50</f>
        <v>-0.00907410419818199898</v>
      </c>
      <c r="F52" s="12">
        <f>F53*(2-I$1^2*D53)-F54</f>
        <v>-0.00907410419818199898</v>
      </c>
      <c r="G52" s="17" t="b">
        <f>C52&gt;$I$5</f>
        <v>0</v>
      </c>
    </row>
    <row r="53" spans="1:7">
      <c r="A53">
        <f>A52+1</f>
        <v>48</v>
      </c>
      <c r="B53">
        <f>B$5+A53*I$1</f>
        <v>0.8</v>
      </c>
      <c r="C53">
        <f>B53*B53</f>
        <v>0.640000000000000036</v>
      </c>
      <c r="D53" s="16">
        <f>2*I$2*(I$5-C53)</f>
        <v>2.95638080326102006</v>
      </c>
      <c r="E53" s="12">
        <f>E52*(2-I$1^2*D52)-E51</f>
        <v>-0.0093228494062789995</v>
      </c>
      <c r="F53" s="12">
        <f>F54*(2-I$1^2*D54)-F55</f>
        <v>-0.0093228494062789995</v>
      </c>
      <c r="G53" s="17" t="b">
        <f>C53&gt;$I$5</f>
        <v>0</v>
      </c>
    </row>
    <row r="54" spans="1:7">
      <c r="A54">
        <f>A53+1</f>
        <v>49</v>
      </c>
      <c r="B54">
        <f>B$5+A54*I$1</f>
        <v>0.900000000000001066</v>
      </c>
      <c r="C54">
        <f>B54*B54</f>
        <v>0.810000000000002096</v>
      </c>
      <c r="D54" s="16">
        <f>2*I$2*(I$5-C54)</f>
        <v>2.61638080326101985</v>
      </c>
      <c r="E54" s="12">
        <f>E53*(2-I$1^2*D53)-E52</f>
        <v>-0.00929597568421199938</v>
      </c>
      <c r="F54" s="12">
        <f>F55*(2-I$1^2*D55)-F56</f>
        <v>-0.00929597568421199938</v>
      </c>
      <c r="G54" s="17" t="b">
        <f>C54&gt;$I$5</f>
        <v>0</v>
      </c>
    </row>
    <row r="55" spans="1:15">
      <c r="A55">
        <f>A54+1</f>
        <v>50</v>
      </c>
      <c r="B55">
        <f>B$5+A55*I$1</f>
        <v>1</v>
      </c>
      <c r="C55">
        <f>B55*B55</f>
        <v>1</v>
      </c>
      <c r="D55" s="16">
        <f>2*I$2*(I$5-C55)</f>
        <v>2.23638080326101996</v>
      </c>
      <c r="E55" s="12">
        <f>E54*(2-I$1^2*D54)-E53</f>
        <v>-0.00902588383886700107</v>
      </c>
      <c r="F55" s="12">
        <f>F56*(2-I$1^2*D56)-F57</f>
        <v>-0.00902588383886700107</v>
      </c>
      <c r="G55" s="17" t="b">
        <f>C55&gt;$I$5</f>
        <v>0</v>
      </c>
      <c r="H55" t="s">
        <v>37</v>
      </c>
      <c r="J55" s="21" t="s">
        <v>38</v>
      </c>
      <c r="K55" s="21"/>
      <c r="L55" s="21" t="s">
        <v>38</v>
      </c>
      <c r="M55" s="21"/>
      <c r="N55" s="21" t="s">
        <v>39</v>
      </c>
      <c r="O55" s="21"/>
    </row>
    <row r="56" spans="1:15">
      <c r="A56">
        <f>A55+1</f>
        <v>51</v>
      </c>
      <c r="B56">
        <f>B$5+A56*I$1</f>
        <v>1.10000000000000009</v>
      </c>
      <c r="C56">
        <f>B56*B56</f>
        <v>1.20999999999999996</v>
      </c>
      <c r="D56" s="16">
        <f>2*I$2*(I$5-C56)</f>
        <v>1.81638080326102003</v>
      </c>
      <c r="E56" s="12">
        <f>E55*(2-I$1^2*D55)-E54</f>
        <v>-0.00855393886002499926</v>
      </c>
      <c r="F56" s="12">
        <f>F57*(2-I$1^2*D57)-F58</f>
        <v>-0.00855393886002499926</v>
      </c>
      <c r="G56" s="17" t="b">
        <f>C56&gt;$I$5</f>
        <v>0</v>
      </c>
      <c r="J56" t="s">
        <v>40</v>
      </c>
      <c r="K56" t="s">
        <v>40</v>
      </c>
      <c r="L56" t="s">
        <v>41</v>
      </c>
      <c r="M56" t="s">
        <v>41</v>
      </c>
      <c r="N56" t="s">
        <v>42</v>
      </c>
      <c r="O56" t="s">
        <v>42</v>
      </c>
    </row>
    <row r="57" spans="1:16">
      <c r="A57">
        <f>A56+1</f>
        <v>52</v>
      </c>
      <c r="B57">
        <f>B$5+A57*I$1</f>
        <v>1.19999999999999996</v>
      </c>
      <c r="C57">
        <f>B57*B57</f>
        <v>1.43999999999999995</v>
      </c>
      <c r="D57" s="16">
        <f>2*I$2*(I$5-C57)</f>
        <v>1.35638080326102006</v>
      </c>
      <c r="E57" s="19">
        <f>E56*(2-I$1^2*D56)-E55</f>
        <v>-0.00792662177780699917</v>
      </c>
      <c r="F57" s="19">
        <f>F58*(2-I$1^2*D58)-F59</f>
        <v>-0.00792662177780699917</v>
      </c>
      <c r="G57" s="17" t="b">
        <f>C57&gt;$I$5</f>
        <v>0</v>
      </c>
      <c r="H57">
        <f>E57/E$60</f>
        <v>1.42086923453440006</v>
      </c>
      <c r="I57">
        <f>F57/F$60</f>
        <v>1.42086923453440006</v>
      </c>
      <c r="N57">
        <f>(E58+E56-2*E57)/$I$1^2</f>
        <v>0.0107515176141000013</v>
      </c>
      <c r="O57">
        <f>(F58+F56-2*F57)/$I$1^2</f>
        <v>0.0107515176141000013</v>
      </c>
      <c r="P57">
        <f>N57-O57</f>
        <v>0</v>
      </c>
    </row>
    <row r="58" spans="1:16">
      <c r="A58">
        <f>A57+1</f>
        <v>53</v>
      </c>
      <c r="B58">
        <f>B$5+A58*I$1</f>
        <v>1.30000000000000004</v>
      </c>
      <c r="C58">
        <f>B58*B58</f>
        <v>1.68999999999999995</v>
      </c>
      <c r="D58" s="16">
        <f>2*I$2*(I$5-C58)</f>
        <v>0.856380803261019885</v>
      </c>
      <c r="E58" s="19">
        <f>E57*(2-I$1^2*D57)-E56</f>
        <v>-0.00719178951944799927</v>
      </c>
      <c r="F58" s="19">
        <f>F59*(2-I$1^2*D59)-F60</f>
        <v>-0.00719178951944799927</v>
      </c>
      <c r="G58" s="17" t="b">
        <f>C58&gt;$I$5</f>
        <v>0</v>
      </c>
      <c r="H58">
        <f>E58/E$60</f>
        <v>1.28914848669085004</v>
      </c>
      <c r="I58">
        <f>F58/F$60</f>
        <v>1.28914848669085004</v>
      </c>
      <c r="N58">
        <f>(E59+E57-2*E58)/$I$1^2</f>
        <v>0.00615891048549999987</v>
      </c>
      <c r="O58">
        <f>(F59+F57-2*F58)/$I$1^2</f>
        <v>0.00615891048549999987</v>
      </c>
      <c r="P58">
        <f>N58-O58</f>
        <v>0</v>
      </c>
    </row>
    <row r="59" spans="1:16">
      <c r="A59">
        <f>A58+1</f>
        <v>54</v>
      </c>
      <c r="B59">
        <f>B$5+A59*I$1</f>
        <v>1.39999999999999991</v>
      </c>
      <c r="C59">
        <f>B59*B59</f>
        <v>1.95999999999999996</v>
      </c>
      <c r="D59" s="16">
        <f>2*I$2*(I$5-C59)</f>
        <v>0.316380803261020027</v>
      </c>
      <c r="E59" s="19">
        <f>E58*(2-I$1^2*D58)-E57</f>
        <v>-0.00639536815623399946</v>
      </c>
      <c r="F59" s="19">
        <f>F60*(2-I$1^2*D60)-F61</f>
        <v>-0.00639536815623399946</v>
      </c>
      <c r="G59" s="17" t="b">
        <f>C59&gt;$I$5</f>
        <v>0</v>
      </c>
      <c r="H59">
        <f>E59/E$60</f>
        <v>1.14638771868183009</v>
      </c>
      <c r="I59">
        <f>F59/F$60</f>
        <v>1.14638771868183009</v>
      </c>
      <c r="N59">
        <f>(E60+E58-2*E59)/$I$1^2</f>
        <v>0.00202337171440000008</v>
      </c>
      <c r="O59">
        <f>(F60+F58-2*F59)/$I$1^2</f>
        <v>0.00202337171440000008</v>
      </c>
      <c r="P59">
        <f>N59-O59</f>
        <v>0</v>
      </c>
    </row>
    <row r="60" spans="1:16">
      <c r="A60">
        <f>A59+1</f>
        <v>55</v>
      </c>
      <c r="B60">
        <f>B$5+A60*I$1</f>
        <v>1.5</v>
      </c>
      <c r="C60">
        <f>B60*B60</f>
        <v>2.25</v>
      </c>
      <c r="D60" s="16">
        <f>2*I$2*(I$5-C60)</f>
        <v>-0.263619196738979999</v>
      </c>
      <c r="E60" s="20">
        <f>E59*(2-I$1^2*D59)-E58</f>
        <v>-0.00557871307587599929</v>
      </c>
      <c r="F60" s="20">
        <f>F61*(2-I$1^2*D61)-F62</f>
        <v>-0.00557871307587599929</v>
      </c>
      <c r="G60" s="18" t="b">
        <f>C60&gt;$I$5</f>
        <v>1</v>
      </c>
      <c r="H60">
        <f>E60/E$60</f>
        <v>1</v>
      </c>
      <c r="I60">
        <f>F60/F$60</f>
        <v>1</v>
      </c>
      <c r="J60">
        <f>(H61-H59)/(2*$I$1)</f>
        <v>-1.45069622698136991</v>
      </c>
      <c r="K60">
        <f>(I61-I59)/(2*$I$1)</f>
        <v>-1.45069622698136991</v>
      </c>
      <c r="L60">
        <f>(H58-8*H59+8*H61-H62)/(12*$I$1)</f>
        <v>-1.46002366577678</v>
      </c>
      <c r="M60">
        <f>(I58-8*I59+8*I61-I62)/(12*$I$1)</f>
        <v>-1.46002366577678</v>
      </c>
      <c r="N60">
        <f>(E61+E59-2*E60)/$I$1^2</f>
        <v>-0.00147065585989999992</v>
      </c>
      <c r="O60">
        <f>(F61+F59-2*F60)/$I$1^2</f>
        <v>-0.00147065585989999992</v>
      </c>
      <c r="P60">
        <f>N60-O60</f>
        <v>0</v>
      </c>
    </row>
    <row r="61" spans="1:16">
      <c r="A61">
        <f>A60+1</f>
        <v>56</v>
      </c>
      <c r="B61">
        <f>B$5+A61*I$1</f>
        <v>1.60000000000000009</v>
      </c>
      <c r="C61">
        <f>B61*B61</f>
        <v>2.56000000000000005</v>
      </c>
      <c r="D61" s="16">
        <f>2*I$2*(I$5-C61)</f>
        <v>-0.883619196738979973</v>
      </c>
      <c r="E61" s="19">
        <f>E60*(2-I$1^2*D60)-E59</f>
        <v>-0.00477676455411699941</v>
      </c>
      <c r="F61" s="19">
        <f>F62*(2-I$1^2*D62)-F63</f>
        <v>-0.00477676455411699941</v>
      </c>
      <c r="G61" s="18" t="b">
        <f>C61&gt;$I$5</f>
        <v>1</v>
      </c>
      <c r="H61">
        <f>E61/E$60</f>
        <v>0.856248473285556955</v>
      </c>
      <c r="I61">
        <f>F61/F$60</f>
        <v>0.856248473285556955</v>
      </c>
      <c r="N61">
        <f>(E62+E60-2*E61)/$I$1^2</f>
        <v>-0.00422084085829999989</v>
      </c>
      <c r="O61">
        <f>(F62+F60-2*F61)/$I$1^2</f>
        <v>-0.00422084085829999989</v>
      </c>
      <c r="P61">
        <f>N61-O61</f>
        <v>0</v>
      </c>
    </row>
    <row r="62" spans="1:16">
      <c r="A62">
        <f>A61+1</f>
        <v>57</v>
      </c>
      <c r="B62">
        <f>B$5+A62*I$1</f>
        <v>1.7</v>
      </c>
      <c r="C62">
        <f>B62*B62</f>
        <v>2.89000000000000021</v>
      </c>
      <c r="D62" s="16">
        <f>2*I$2*(I$5-C62)</f>
        <v>-1.54361919673898011</v>
      </c>
      <c r="E62" s="19">
        <f>E61*(2-I$1^2*D61)-E60</f>
        <v>-0.00401702444094100031</v>
      </c>
      <c r="F62" s="19">
        <f>F63*(2-I$1^2*D63)-F64</f>
        <v>-0.00401702444094100031</v>
      </c>
      <c r="G62" s="18" t="b">
        <f>C62&gt;$I$5</f>
        <v>1</v>
      </c>
      <c r="H62">
        <f>E62/E$60</f>
        <v>0.720062922452814025</v>
      </c>
      <c r="I62">
        <f>F62/F$60</f>
        <v>0.720062922452814025</v>
      </c>
      <c r="N62">
        <f>(E63+E61-2*E62)/$I$1^2</f>
        <v>-0.00620075604079999998</v>
      </c>
      <c r="O62">
        <f>(F63+F61-2*F62)/$I$1^2</f>
        <v>-0.00620075604079999998</v>
      </c>
      <c r="P62">
        <f>N62-O62</f>
        <v>0</v>
      </c>
    </row>
    <row r="63" spans="1:16">
      <c r="A63">
        <f>A62+1</f>
        <v>58</v>
      </c>
      <c r="B63">
        <f>B$5+A63*I$1</f>
        <v>1.8</v>
      </c>
      <c r="C63">
        <f>B63*B63</f>
        <v>3.24000000000000021</v>
      </c>
      <c r="D63" s="16">
        <f>2*I$2*(I$5-C63)</f>
        <v>-2.24361919673898003</v>
      </c>
      <c r="E63" s="19">
        <f>E62*(2-I$1^2*D62)-E61</f>
        <v>-0.00331929188817299936</v>
      </c>
      <c r="F63" s="19">
        <f>F64*(2-I$1^2*D64)-F65</f>
        <v>-0.00331929188817299936</v>
      </c>
      <c r="G63" s="18" t="b">
        <f>C63&gt;$I$5</f>
        <v>1</v>
      </c>
      <c r="H63">
        <f>E63/E$60</f>
        <v>0.594992401119641023</v>
      </c>
      <c r="I63">
        <f>F63/F$60</f>
        <v>0.594992401119641023</v>
      </c>
      <c r="N63">
        <f>(E64+E62-2*E63)/$I$1^2</f>
        <v>-0.0074472269999000007</v>
      </c>
      <c r="O63">
        <f>(F64+F62-2*F63)/$I$1^2</f>
        <v>-0.0074472269999000007</v>
      </c>
      <c r="P63">
        <f>N63-O63</f>
        <v>0</v>
      </c>
    </row>
    <row r="64" spans="1:7">
      <c r="A64">
        <f>A63+1</f>
        <v>59</v>
      </c>
      <c r="B64">
        <f>B$5+A64*I$1</f>
        <v>1.9</v>
      </c>
      <c r="C64">
        <f>B64*B64</f>
        <v>3.60999999999999988</v>
      </c>
      <c r="D64" s="16">
        <f>2*I$2*(I$5-C64)</f>
        <v>-2.9836191967389798</v>
      </c>
      <c r="E64" s="12">
        <f>E63*(2-I$1^2*D63)-E62</f>
        <v>-0.00269603160540400033</v>
      </c>
      <c r="F64" s="12">
        <f>F65*(2-I$1^2*D65)-F66</f>
        <v>-0.00269603160540400033</v>
      </c>
      <c r="G64" s="18" t="b">
        <f>C64&gt;$I$5</f>
        <v>1</v>
      </c>
    </row>
    <row r="65" spans="1:7">
      <c r="A65">
        <f>A64+1</f>
        <v>60</v>
      </c>
      <c r="B65">
        <f>B$5+A65*I$1</f>
        <v>2</v>
      </c>
      <c r="C65">
        <f>B65*B65</f>
        <v>4</v>
      </c>
      <c r="D65" s="16">
        <f>2*I$2*(I$5-C65)</f>
        <v>-3.76361919673898004</v>
      </c>
      <c r="E65" s="12">
        <f>E64*(2-I$1^2*D64)-E63</f>
        <v>-0.00215321063916400002</v>
      </c>
      <c r="F65" s="12">
        <f>F66*(2-I$1^2*D66)-F67</f>
        <v>-0.00215321063916400002</v>
      </c>
      <c r="G65" s="18" t="b">
        <f>C65&gt;$I$5</f>
        <v>1</v>
      </c>
    </row>
    <row r="66" spans="1:7">
      <c r="A66">
        <f>A65+1</f>
        <v>61</v>
      </c>
      <c r="B66">
        <f>B$5+A66*I$1</f>
        <v>2.10000000000000009</v>
      </c>
      <c r="C66">
        <f>B66*B66</f>
        <v>4.41000000000000014</v>
      </c>
      <c r="D66" s="16">
        <f>2*I$2*(I$5-C66)</f>
        <v>-4.58361919673898033</v>
      </c>
      <c r="E66" s="12">
        <f>E65*(2-I$1^2*D65)-E64</f>
        <v>-0.00169142832188600023</v>
      </c>
      <c r="F66" s="12">
        <f>F67*(2-I$1^2*D67)-F68</f>
        <v>-0.00169142832188600023</v>
      </c>
      <c r="G66" s="18" t="b">
        <f>C66&gt;$I$5</f>
        <v>1</v>
      </c>
    </row>
    <row r="67" spans="1:7">
      <c r="A67">
        <f>A66+1</f>
        <v>62</v>
      </c>
      <c r="B67">
        <f>B$5+A67*I$1</f>
        <v>2.20000000000000018</v>
      </c>
      <c r="C67">
        <f>B67*B67</f>
        <v>4.83999999999999986</v>
      </c>
      <c r="D67" s="16">
        <f>2*I$2*(I$5-C67)</f>
        <v>-5.44361919673897976</v>
      </c>
      <c r="E67" s="12">
        <f>E66*(2-I$1^2*D66)-E65</f>
        <v>-0.0013071746378689999</v>
      </c>
      <c r="F67" s="12">
        <f>F68*(2-I$1^2*D68)-F69</f>
        <v>-0.0013071746378689999</v>
      </c>
      <c r="G67" s="18" t="b">
        <f>C67&gt;$I$5</f>
        <v>1</v>
      </c>
    </row>
    <row r="68" spans="1:7">
      <c r="A68">
        <f>A67+1</f>
        <v>63</v>
      </c>
      <c r="B68">
        <f>B$5+A68*I$1</f>
        <v>2.29999999999999982</v>
      </c>
      <c r="C68">
        <f>B68*B68</f>
        <v>5.29000000000000004</v>
      </c>
      <c r="D68" s="16">
        <f>2*I$2*(I$5-C68)</f>
        <v>-6.34361919673898011</v>
      </c>
      <c r="E68" s="12">
        <f>E67*(2-I$1^2*D67)-E66</f>
        <v>-0.00099407856337400009</v>
      </c>
      <c r="F68" s="12">
        <f>F69*(2-I$1^2*D69)-F70</f>
        <v>-0.00099407856337400009</v>
      </c>
      <c r="G68" s="18" t="b">
        <f>C68&gt;$I$5</f>
        <v>1</v>
      </c>
    </row>
    <row r="69" spans="1:7">
      <c r="A69">
        <f>A68+1</f>
        <v>64</v>
      </c>
      <c r="B69">
        <f>B$5+A69*I$1</f>
        <v>2.39999999999999991</v>
      </c>
      <c r="C69">
        <f>B69*B69</f>
        <v>5.75999999999999979</v>
      </c>
      <c r="D69" s="16">
        <f>2*I$2*(I$5-C69)</f>
        <v>-7.28361919673897962</v>
      </c>
      <c r="E69" s="12">
        <f>E68*(2-I$1^2*D68)-E67</f>
        <v>-0.00074404304745599994</v>
      </c>
      <c r="F69" s="12">
        <f>F70*(2-I$1^2*D70)-F71</f>
        <v>-0.00074404304745599994</v>
      </c>
      <c r="G69" s="18" t="b">
        <f>C69&gt;$I$5</f>
        <v>1</v>
      </c>
    </row>
    <row r="70" spans="1:7">
      <c r="A70">
        <f>A69+1</f>
        <v>65</v>
      </c>
      <c r="B70">
        <f>B$5+A70*I$1</f>
        <v>2.5</v>
      </c>
      <c r="C70">
        <f>B70*B70</f>
        <v>6.25</v>
      </c>
      <c r="D70" s="16">
        <f>2*I$2*(I$5-C70)</f>
        <v>-8.26361919673897916</v>
      </c>
      <c r="E70" s="12">
        <f>E69*(2-I$1^2*D69)-E68</f>
        <v>-0.000548200793775000061</v>
      </c>
      <c r="F70" s="12">
        <f>F71*(2-I$1^2*D71)-F72</f>
        <v>-0.000548200793775000061</v>
      </c>
      <c r="G70" s="18" t="b">
        <f>C70&gt;$I$5</f>
        <v>1</v>
      </c>
    </row>
    <row r="71" spans="1:7">
      <c r="A71">
        <f>A70+1</f>
        <v>66</v>
      </c>
      <c r="B71">
        <f>B$5+A71*I$1</f>
        <v>2.60000000000000009</v>
      </c>
      <c r="C71">
        <f>B71*B71</f>
        <v>6.75999999999999979</v>
      </c>
      <c r="D71" s="16">
        <f>2*I$2*(I$5-C71)</f>
        <v>-9.28361919673898051</v>
      </c>
      <c r="E71" s="12">
        <f>E70*(2-I$1^2*D70)-E69</f>
        <v>-0.000397659766125000047</v>
      </c>
      <c r="F71" s="12">
        <f>F72*(2-I$1^2*D72)-F73</f>
        <v>-0.000397659766125000047</v>
      </c>
      <c r="G71" s="18" t="b">
        <f>C71&gt;$I$5</f>
        <v>1</v>
      </c>
    </row>
    <row r="72" spans="1:7">
      <c r="A72">
        <f>A71+1</f>
        <v>67</v>
      </c>
      <c r="B72">
        <f>B$5+A72*I$1</f>
        <v>2.70000000000000018</v>
      </c>
      <c r="C72">
        <f>B72*B72</f>
        <v>7.29000000000000004</v>
      </c>
      <c r="D72" s="16">
        <f>2*I$2*(I$5-C72)</f>
        <v>-10.3436191967390005</v>
      </c>
      <c r="E72" s="12">
        <f>E71*(2-I$1^2*D71)-E70</f>
        <v>-0.000284035956861000027</v>
      </c>
      <c r="F72" s="12">
        <f>F73*(2-I$1^2*D73)-F74</f>
        <v>-0.000284035956861000027</v>
      </c>
      <c r="G72" s="18" t="b">
        <f>C72&gt;$I$5</f>
        <v>1</v>
      </c>
    </row>
    <row r="73" spans="1:7">
      <c r="A73">
        <f>A72+1</f>
        <v>68</v>
      </c>
      <c r="B73">
        <f>B$5+A73*I$1</f>
        <v>2.79999999999999982</v>
      </c>
      <c r="C73">
        <f>B73*B73</f>
        <v>7.83999999999999986</v>
      </c>
      <c r="D73" s="16">
        <f>2*I$2*(I$5-C73)</f>
        <v>-11.4436191967390002</v>
      </c>
      <c r="E73" s="12">
        <f>E72*(2-I$1^2*D72)-E71</f>
        <v>-0.000199791745356999968</v>
      </c>
      <c r="F73" s="12">
        <f>F74*(2-I$1^2*D74)-F75</f>
        <v>-0.000199791745356999968</v>
      </c>
      <c r="G73" s="18" t="b">
        <f>C73&gt;$I$5</f>
        <v>1</v>
      </c>
    </row>
    <row r="74" spans="1:7">
      <c r="A74">
        <f>A73+1</f>
        <v>69</v>
      </c>
      <c r="B74">
        <f>B$5+A74*I$1</f>
        <v>2.9</v>
      </c>
      <c r="C74">
        <f>B74*B74</f>
        <v>8.41000000000000014</v>
      </c>
      <c r="D74" s="16">
        <f>2*I$2*(I$5-C74)</f>
        <v>-12.5836191967390008</v>
      </c>
      <c r="E74" s="12">
        <f>E73*(2-I$1^2*D73)-E72</f>
        <v>-0.000138410940378000014</v>
      </c>
      <c r="F74" s="12">
        <f>F75*(2-I$1^2*D75)-F76</f>
        <v>-0.000138410940378000014</v>
      </c>
      <c r="G74" s="18" t="b">
        <f>C74&gt;$I$5</f>
        <v>1</v>
      </c>
    </row>
    <row r="75" spans="1:7">
      <c r="A75">
        <f>A74+1</f>
        <v>70</v>
      </c>
      <c r="B75">
        <f>B$5+A75*I$1</f>
        <v>3</v>
      </c>
      <c r="C75">
        <f>B75*B75</f>
        <v>9</v>
      </c>
      <c r="D75" s="16">
        <f>2*I$2*(I$5-C75)</f>
        <v>-13.7636191967390005</v>
      </c>
      <c r="E75" s="12">
        <f>E74*(2-I$1^2*D74)-E73</f>
        <v>-0.000094447241063000007</v>
      </c>
      <c r="F75" s="12">
        <f>F76*(2-I$1^2*D76)-F77</f>
        <v>-0.000094447241063000007</v>
      </c>
      <c r="G75" s="18" t="b">
        <f>C75&gt;$I$5</f>
        <v>1</v>
      </c>
    </row>
    <row r="76" spans="1:7">
      <c r="A76">
        <f>A75+1</f>
        <v>71</v>
      </c>
      <c r="B76">
        <f>B$5+A76*I$1</f>
        <v>3.10000000000000009</v>
      </c>
      <c r="C76">
        <f>B76*B76</f>
        <v>9.60999999999999943</v>
      </c>
      <c r="D76" s="16">
        <f>2*I$2*(I$5-C76)</f>
        <v>-14.9836191967389993</v>
      </c>
      <c r="E76" s="12">
        <f>E75*(2-I$1^2*D75)-E74</f>
        <v>-0.00006348290034999998</v>
      </c>
      <c r="F76" s="12">
        <f>F77*(2-I$1^2*D77)-F78</f>
        <v>-0.00006348290034999998</v>
      </c>
      <c r="G76" s="18" t="b">
        <f>C76&gt;$I$5</f>
        <v>1</v>
      </c>
    </row>
    <row r="77" spans="1:7">
      <c r="A77">
        <f>A76+1</f>
        <v>72</v>
      </c>
      <c r="B77">
        <f>B$5+A77*I$1</f>
        <v>3.20000000000000018</v>
      </c>
      <c r="C77">
        <f>B77*B77</f>
        <v>10.2400000000000002</v>
      </c>
      <c r="D77" s="16">
        <f>2*I$2*(I$5-C77)</f>
        <v>-16.2436191967390009</v>
      </c>
      <c r="E77" s="12">
        <f>E76*(2-I$1^2*D76)-E75</f>
        <v>-0.0000420305956799999958</v>
      </c>
      <c r="F77" s="12">
        <f>F78*(2-I$1^2*D78)-F79</f>
        <v>-0.0000420305956799999958</v>
      </c>
      <c r="G77" s="18" t="b">
        <f>C77&gt;$I$5</f>
        <v>1</v>
      </c>
    </row>
    <row r="78" spans="1:7">
      <c r="A78">
        <f>A77+1</f>
        <v>73</v>
      </c>
      <c r="B78">
        <f>B$5+A78*I$1</f>
        <v>3.29999999999999982</v>
      </c>
      <c r="C78">
        <f>B78*B78</f>
        <v>10.8900000000000006</v>
      </c>
      <c r="D78" s="16">
        <f>2*I$2*(I$5-C78)</f>
        <v>-17.5436191967390016</v>
      </c>
      <c r="E78" s="12">
        <f>E77*(2-I$1^2*D77)-E76</f>
        <v>-0.000027405580918000001</v>
      </c>
      <c r="F78" s="12">
        <f>F79*(2-I$1^2*D79)-F80</f>
        <v>-0.000027405580918000001</v>
      </c>
      <c r="G78" s="18" t="b">
        <f>C78&gt;$I$5</f>
        <v>1</v>
      </c>
    </row>
    <row r="79" spans="1:7">
      <c r="A79">
        <f>A78+1</f>
        <v>74</v>
      </c>
      <c r="B79">
        <f>B$5+A79*I$1</f>
        <v>3.39999999999999991</v>
      </c>
      <c r="C79">
        <f>B79*B79</f>
        <v>11.5600000000000005</v>
      </c>
      <c r="D79" s="16">
        <f>2*I$2*(I$5-C79)</f>
        <v>-18.8836191967390015</v>
      </c>
      <c r="E79" s="12">
        <f>E78*(2-I$1^2*D78)-E77</f>
        <v>-0.000017588496911</v>
      </c>
      <c r="F79" s="12">
        <f>F80*(2-I$1^2*D80)-F81</f>
        <v>-0.000017588496911</v>
      </c>
      <c r="G79" s="18" t="b">
        <f>C79&gt;$I$5</f>
        <v>1</v>
      </c>
    </row>
    <row r="80" spans="1:7">
      <c r="A80">
        <f>A79+1</f>
        <v>75</v>
      </c>
      <c r="B80">
        <f>B$5+A80*I$1</f>
        <v>3.5</v>
      </c>
      <c r="C80">
        <f>B80*B80</f>
        <v>12.25</v>
      </c>
      <c r="D80" s="16">
        <f>2*I$2*(I$5-C80)</f>
        <v>-20.2636191967390005</v>
      </c>
      <c r="E80" s="12">
        <f>E79*(2-I$1^2*D79)-E78</f>
        <v>-0.0000110927576830000008</v>
      </c>
      <c r="F80" s="12">
        <f>F81*(2-I$1^2*D81)-F82</f>
        <v>-0.0000110927576830000008</v>
      </c>
      <c r="G80" s="18" t="b">
        <f>C80&gt;$I$5</f>
        <v>1</v>
      </c>
    </row>
    <row r="81" spans="1:7">
      <c r="A81">
        <f>A80+1</f>
        <v>76</v>
      </c>
      <c r="B81">
        <f>B$5+A81*I$1</f>
        <v>3.60000000000000009</v>
      </c>
      <c r="C81">
        <f>B81*B81</f>
        <v>12.9600000000000009</v>
      </c>
      <c r="D81" s="16">
        <f>2*I$2*(I$5-C81)</f>
        <v>-21.6836191967389986</v>
      </c>
      <c r="E81" s="12">
        <f>E80*(2-I$1^2*D80)-E79</f>
        <v>-6.844812630000001228E-06</v>
      </c>
      <c r="F81" s="12">
        <f>F82*(2-I$1^2*D82)-F83</f>
        <v>-6.844812629684419621E-06</v>
      </c>
      <c r="G81" s="18" t="b">
        <f>C81&gt;$I$5</f>
        <v>1</v>
      </c>
    </row>
    <row r="82" spans="1:7">
      <c r="A82">
        <f>A81+1</f>
        <v>77</v>
      </c>
      <c r="B82">
        <f>B$5+A82*I$1</f>
        <v>3.70000000000000018</v>
      </c>
      <c r="C82">
        <f>B82*B82</f>
        <v>13.6899999999999995</v>
      </c>
      <c r="D82" s="16">
        <f>2*I$2*(I$5-C82)</f>
        <v>-23.1436191967389995</v>
      </c>
      <c r="E82" s="12">
        <f>E81*(2-I$1^2*D81)-E80</f>
        <v>-4.081070682000000782E-06</v>
      </c>
      <c r="F82" s="12">
        <f>F83*(2-I$1^2*D83)-F84</f>
        <v>-4.081070681937246652E-06</v>
      </c>
      <c r="G82" s="18" t="b">
        <f>C82&gt;$I$5</f>
        <v>1</v>
      </c>
    </row>
    <row r="83" spans="1:7">
      <c r="A83">
        <f>A82+1</f>
        <v>78</v>
      </c>
      <c r="B83">
        <f>B$5+A83*I$1</f>
        <v>3.79999999999999982</v>
      </c>
      <c r="C83">
        <f>B83*B83</f>
        <v>14.4399999999999995</v>
      </c>
      <c r="D83" s="16">
        <f>2*I$2*(I$5-C83)</f>
        <v>-24.6436191967389995</v>
      </c>
      <c r="E83" s="12">
        <f>E82*(2-I$1^2*D82)-E81</f>
        <v>-2.261836191791837934E-06</v>
      </c>
      <c r="F83" s="12">
        <f>F84*(2-I$1^2*D84)-F85</f>
        <v>-2.261836191967390171E-06</v>
      </c>
      <c r="G83" s="18" t="b">
        <f>C83&gt;$I$5</f>
        <v>1</v>
      </c>
    </row>
    <row r="84" spans="1:7">
      <c r="A84">
        <f>A83+1</f>
        <v>79</v>
      </c>
      <c r="B84">
        <f>B$5+A84*I$1</f>
        <v>3.9</v>
      </c>
      <c r="C84">
        <f>B84*B84</f>
        <v>15.2100000000000009</v>
      </c>
      <c r="D84" s="16">
        <f>2*I$2*(I$5-C84)</f>
        <v>-26.1836191967389986</v>
      </c>
      <c r="E84" s="12">
        <f>E83*(2-I$1^2*D83)-E82</f>
        <v>-9.999999995428787195E-07</v>
      </c>
      <c r="F84" s="15">
        <f>-1E-06</f>
        <v>-9.999999999999999547E-07</v>
      </c>
      <c r="G84" s="18" t="b">
        <f>C84&gt;$I$5</f>
        <v>1</v>
      </c>
    </row>
    <row r="85" spans="1:7">
      <c r="A85">
        <f>A84+1</f>
        <v>80</v>
      </c>
      <c r="B85">
        <f>B$5+A85*I$1</f>
        <v>4</v>
      </c>
      <c r="C85">
        <f>B85*B85</f>
        <v>16</v>
      </c>
      <c r="D85" s="16">
        <f>2*I$2*(I$5-C85)</f>
        <v>-27.7636191967390005</v>
      </c>
      <c r="E85" s="12">
        <f>E84*(2-I$1^2*D84)-E83</f>
        <v>8.583810711651398279E-16</v>
      </c>
      <c r="F85" s="15" t="n">
        <v>0</v>
      </c>
      <c r="G85" s="18" t="b">
        <f>C85&gt;$I$5</f>
        <v>1</v>
      </c>
    </row>
    <row r="86" spans="6:6">
      <c r="F86" s="15"/>
    </row>
  </sheetData>
  <mergeCells count="3">
    <mergeCell ref="J55:K55"/>
    <mergeCell ref="L55:M55"/>
    <mergeCell ref="N55:O55"/>
  </mergeCells>
  <printOptions>
    <extLst>
      <ext uri="smNativeData">
        <pm:pageFlags xmlns:pm="smNativeData" id="177090336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70903363" l="56" r="56" t="56" b="56" borderId="0" fillId="0" vertical="0"/>
        <pm:footer xmlns:pm="smNativeData" id="1770903363" l="56" r="56" t="56" b="56" borderId="0" fillId="0" vertical="2"/>
        <pm:paperBin xmlns:pm="smNativeData" id="1770903363" Id="0" type="0" value="0"/>
        <pm:paperBin xmlns:pm="smNativeData" id="1770903363" Id="1" type="0" value="0"/>
      </ext>
    </extLst>
  </headerFooter>
  <drawing r:id="rId1"/>
  <extLst>
    <ext uri="smNativeData">
      <pm:sheetPrefs xmlns:pm="smNativeData" day="177090336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Lorenzo Lodi</dc:creator>
  <cp:keywords/>
  <dc:description/>
  <cp:lastModifiedBy>Lorenzo</cp:lastModifiedBy>
  <cp:revision>0</cp:revision>
  <dcterms:created xsi:type="dcterms:W3CDTF">2026-02-06T11:04:33Z</dcterms:created>
  <dcterms:modified xsi:type="dcterms:W3CDTF">2026-02-12T13:36:03Z</dcterms:modified>
</cp:coreProperties>
</file>