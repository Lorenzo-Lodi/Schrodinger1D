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Lorenzo"/>
  <workbookPr/>
  <bookViews>
    <workbookView activeTab="0" xWindow="240" yWindow="60" windowWidth="0" windowHeight="0" tabRatio="500"/>
  </bookViews>
  <sheets>
    <sheet name="Sheet1" sheetId="1" r:id="rId4"/>
  </sheets>
  <calcPr calcOnSave="0"/>
  <extLst>
    <ext uri="smNativeData">
      <pm:revision xmlns:pm="smNativeData" day="1675691075" val="982" rev="124" revOS="4" revMin="124" revMax="0"/>
      <pm:docPrefs xmlns:pm="smNativeData" id="1675691075" fixedDigits="0" showNotice="1" showProtection="1" showFrameBounds="1" autoChart="1" recalcOnPrint="1" recalcOnCopy="1" compatTextArt="1" tab="567" useDefinedPrintRange="1" printArea="currentSheet"/>
      <pm:compatibility xmlns:pm="smNativeData" id="1675691075"/>
      <pm:defCurrency xmlns:pm="smNativeData" id="1675691075"/>
    </ext>
  </extLst>
</workbook>
</file>

<file path=xl/sharedStrings.xml><?xml version="1.0" encoding="utf-8"?>
<sst xmlns="http://schemas.openxmlformats.org/spreadsheetml/2006/main" count="19" uniqueCount="18">
  <si>
    <t>r</t>
  </si>
  <si>
    <t>U(r)</t>
  </si>
  <si>
    <t>Q(r)</t>
  </si>
  <si>
    <t>E=</t>
  </si>
  <si>
    <t>re=</t>
  </si>
  <si>
    <t>yMin=</t>
  </si>
  <si>
    <t>mass=</t>
  </si>
  <si>
    <t>alpha=</t>
  </si>
  <si>
    <t>yMax=</t>
  </si>
  <si>
    <t>step=</t>
  </si>
  <si>
    <t>yStep=</t>
  </si>
  <si>
    <t>For plot</t>
  </si>
  <si>
    <t>y</t>
  </si>
  <si>
    <t>g(y)</t>
  </si>
  <si>
    <t>F(y)</t>
  </si>
  <si>
    <t>U(r(y))</t>
  </si>
  <si>
    <t>Q(r(y))</t>
  </si>
  <si>
    <t>Q_tilde(y)</t>
  </si>
</sst>
</file>

<file path=xl/styles.xml><?xml version="1.0" encoding="utf-8"?>
<styleSheet xmlns="http://schemas.openxmlformats.org/spreadsheetml/2006/main">
  <numFmts count="8">
    <numFmt numFmtId="5" formatCode="#,##0\ &quot;£&quot;;\-#,##0\ &quot;£&quot;"/>
    <numFmt numFmtId="6" formatCode="#,##0\ &quot;£&quot;;[Red]\-#,##0\ &quot;£&quot;"/>
    <numFmt numFmtId="7" formatCode="#,##0.00\ &quot;£&quot;;\-#,##0.00\ &quot;£&quot;"/>
    <numFmt numFmtId="8" formatCode="#,##0.00\ &quot;£&quot;;[Red]\-#,##0.00\ &quot;£&quot;"/>
    <numFmt numFmtId="42" formatCode="_-* #,##0\ &quot;£&quot;_-;\-* #,##0\ &quot;£&quot;_-;_-* &quot;-&quot;\ &quot;£&quot;_-;_-@_-"/>
    <numFmt numFmtId="41" formatCode="_-* #,##0\ _£_-;\-* #,##0\ _£_-;_-* &quot;-&quot;\ _£_-;_-@_-"/>
    <numFmt numFmtId="44" formatCode="_-* #,##0.00\ &quot;£&quot;_-;\-* #,##0.00\ &quot;£&quot;_-;_-* &quot;-&quot;??\ &quot;£&quot;_-;_-@_-"/>
    <numFmt numFmtId="43" formatCode="_-* #,##0.00\ _£_-;\-* #,##0.00\ _£_-;_-* &quot;-&quot;??\ _£_-;_-@_-"/>
  </numFmts>
  <fonts count="2">
    <font>
      <name val="Arial"/>
      <family val="2"/>
      <color rgb="FF000000"/>
      <sz val="10"/>
      <extLst>
        <ext uri="smNativeData">
          <pm:charSpec xmlns:pm="smNativeData" id="1675691075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b/>
      <color rgb="FF000000"/>
      <sz val="10"/>
      <extLst>
        <ext uri="smNativeData">
          <pm:charSpec xmlns:pm="smNativeData" id="1675691075" ulstyle="none" kern="1">
            <pm:latin face="Arial" sz="200" lang="default" weight="bold"/>
            <pm:cs face="Times New Roman" sz="200" lang="default"/>
            <pm:ea face="SimSun" sz="200" lang="default"/>
          </pm:charSpec>
        </ext>
      </extLst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675691075" type="1" fgLvl="100" fgClr="00FFFFFF" bgLvl="100" bgClr="00000000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675691075" type="1" fgLvl="38" fgClr="00FFFF00" bgLvl="62" bgClr="00FFFFFF"/>
          </ext>
        </extLst>
      </patternFill>
    </fill>
    <fill>
      <patternFill patternType="solid">
        <fgColor rgb="FFFFE0FF"/>
        <bgColor rgb="FFFFFFFF"/>
        <extLst>
          <ext uri="smNativeData">
            <pm:shade xmlns:pm="smNativeData" id="1675691075" type="1" fgLvl="12" fgClr="00FF00FF" bgLvl="88" bgClr="00FFFFFF"/>
          </ext>
        </extLst>
      </patternFill>
    </fill>
  </fills>
  <borders count="4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7569107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7569107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7569107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75691075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3" borderId="2" xfId="0" applyFont="1" applyFill="1"/>
    <xf numFmtId="0" fontId="0" fillId="3" borderId="2" xfId="0" applyFill="1"/>
    <xf numFmtId="0" fontId="0" fillId="0" borderId="0" xfId="0" applyAlignment="1">
      <alignment horizontal="center"/>
    </xf>
    <xf numFmtId="0" fontId="0" fillId="4" borderId="3" xfId="0" applyFill="1"/>
    <xf numFmtId="0" fontId="1" fillId="0" borderId="0" xfId="0" applyFont="1" applyAlignment="1">
      <alignment horizontal="center"/>
    </xf>
  </cellXfs>
  <cellStyles count="1">
    <cellStyle name="Normal" xfId="0" builtinId="0" customBuiltin="1"/>
  </cellStyles>
  <tableStyles count="0"/>
  <extLst>
    <ext uri="smNativeData">
      <pm:charStyles xmlns:pm="smNativeData" id="1675691075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9525">
              <a:solidFill>
                <a:srgbClr val="0000FF"/>
              </a:solidFill>
            </a:ln>
          </c:spPr>
          <c:marker>
            <c:symbol val="circle"/>
            <c:size val="4"/>
            <c:spPr>
              <a:solidFill>
                <a:srgbClr val="3F6898"/>
              </a:solidFill>
              <a:ln>
                <a:solidFill>
                  <a:srgbClr val="0000FF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>
                  <a:defRPr lang="en-gb" sz="1000" b="0" i="0" u="none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Sheet1!$R$6:$R$56</c:f>
              <c:numCache>
                <c:formatCode>General</c:formatCode>
                <c:ptCount val="51"/>
                <c:pt idx="0">
                  <c:v>0.500000</c:v>
                </c:pt>
                <c:pt idx="1">
                  <c:v>0.568182</c:v>
                </c:pt>
                <c:pt idx="2">
                  <c:v>0.637255</c:v>
                </c:pt>
                <c:pt idx="3">
                  <c:v>0.707237</c:v>
                </c:pt>
                <c:pt idx="4">
                  <c:v>0.778146</c:v>
                </c:pt>
                <c:pt idx="5">
                  <c:v>0.850000</c:v>
                </c:pt>
                <c:pt idx="6">
                  <c:v>0.922819</c:v>
                </c:pt>
                <c:pt idx="7">
                  <c:v>0.996622</c:v>
                </c:pt>
                <c:pt idx="8">
                  <c:v>1.071429</c:v>
                </c:pt>
                <c:pt idx="9">
                  <c:v>1.147260</c:v>
                </c:pt>
                <c:pt idx="10">
                  <c:v>1.224138</c:v>
                </c:pt>
                <c:pt idx="11">
                  <c:v>1.302083</c:v>
                </c:pt>
                <c:pt idx="12">
                  <c:v>1.381119</c:v>
                </c:pt>
                <c:pt idx="13">
                  <c:v>1.461268</c:v>
                </c:pt>
                <c:pt idx="14">
                  <c:v>1.542553</c:v>
                </c:pt>
                <c:pt idx="15">
                  <c:v>1.625000</c:v>
                </c:pt>
                <c:pt idx="16">
                  <c:v>1.708633</c:v>
                </c:pt>
                <c:pt idx="17">
                  <c:v>1.793478</c:v>
                </c:pt>
                <c:pt idx="18">
                  <c:v>1.879562</c:v>
                </c:pt>
                <c:pt idx="19">
                  <c:v>1.966912</c:v>
                </c:pt>
                <c:pt idx="20">
                  <c:v>2.055556</c:v>
                </c:pt>
                <c:pt idx="21">
                  <c:v>2.145522</c:v>
                </c:pt>
                <c:pt idx="22">
                  <c:v>2.236842</c:v>
                </c:pt>
                <c:pt idx="23">
                  <c:v>2.329545</c:v>
                </c:pt>
                <c:pt idx="24">
                  <c:v>2.423664</c:v>
                </c:pt>
                <c:pt idx="25">
                  <c:v>2.519231</c:v>
                </c:pt>
                <c:pt idx="26">
                  <c:v>2.616279</c:v>
                </c:pt>
                <c:pt idx="27">
                  <c:v>2.714844</c:v>
                </c:pt>
                <c:pt idx="28">
                  <c:v>2.814961</c:v>
                </c:pt>
                <c:pt idx="29">
                  <c:v>2.916667</c:v>
                </c:pt>
                <c:pt idx="30">
                  <c:v>3.020000</c:v>
                </c:pt>
                <c:pt idx="31">
                  <c:v>3.125000</c:v>
                </c:pt>
                <c:pt idx="32">
                  <c:v>3.231707</c:v>
                </c:pt>
                <c:pt idx="33">
                  <c:v>3.340164</c:v>
                </c:pt>
                <c:pt idx="34">
                  <c:v>3.450413</c:v>
                </c:pt>
                <c:pt idx="35">
                  <c:v>3.562500</c:v>
                </c:pt>
                <c:pt idx="36">
                  <c:v>3.676471</c:v>
                </c:pt>
                <c:pt idx="37">
                  <c:v>3.792373</c:v>
                </c:pt>
                <c:pt idx="38">
                  <c:v>3.910256</c:v>
                </c:pt>
                <c:pt idx="39">
                  <c:v>4.030172</c:v>
                </c:pt>
                <c:pt idx="40">
                  <c:v>4.152174</c:v>
                </c:pt>
                <c:pt idx="41">
                  <c:v>4.276316</c:v>
                </c:pt>
                <c:pt idx="42">
                  <c:v>4.402655</c:v>
                </c:pt>
                <c:pt idx="43">
                  <c:v>4.531250</c:v>
                </c:pt>
                <c:pt idx="44">
                  <c:v>4.662162</c:v>
                </c:pt>
                <c:pt idx="45">
                  <c:v>4.795455</c:v>
                </c:pt>
                <c:pt idx="46">
                  <c:v>4.931193</c:v>
                </c:pt>
                <c:pt idx="47">
                  <c:v>5.069444</c:v>
                </c:pt>
                <c:pt idx="48">
                  <c:v>5.210280</c:v>
                </c:pt>
                <c:pt idx="49">
                  <c:v>5.353774</c:v>
                </c:pt>
                <c:pt idx="50">
                  <c:v>5.500000</c:v>
                </c:pt>
              </c:numCache>
            </c:numRef>
          </c:xVal>
          <c:yVal>
            <c:numRef>
              <c:f>Sheet1!$S$6:$S$56</c:f>
              <c:numCache>
                <c:formatCode>General</c:formatCode>
                <c:ptCount val="51"/>
                <c:pt idx="0">
                  <c:v>0.000211</c:v>
                </c:pt>
                <c:pt idx="1">
                  <c:v>0.000343</c:v>
                </c:pt>
                <c:pt idx="2">
                  <c:v>0.000508</c:v>
                </c:pt>
                <c:pt idx="3">
                  <c:v>0.000722</c:v>
                </c:pt>
                <c:pt idx="4">
                  <c:v>0.001001</c:v>
                </c:pt>
                <c:pt idx="5">
                  <c:v>0.001366</c:v>
                </c:pt>
                <c:pt idx="6">
                  <c:v>0.001844</c:v>
                </c:pt>
                <c:pt idx="7">
                  <c:v>0.002464</c:v>
                </c:pt>
                <c:pt idx="8">
                  <c:v>0.003265</c:v>
                </c:pt>
                <c:pt idx="9">
                  <c:v>0.004289</c:v>
                </c:pt>
                <c:pt idx="10">
                  <c:v>0.005585</c:v>
                </c:pt>
                <c:pt idx="11">
                  <c:v>0.007210</c:v>
                </c:pt>
                <c:pt idx="12">
                  <c:v>0.009222</c:v>
                </c:pt>
                <c:pt idx="13">
                  <c:v>0.011684</c:v>
                </c:pt>
                <c:pt idx="14">
                  <c:v>0.014654</c:v>
                </c:pt>
                <c:pt idx="15">
                  <c:v>0.018186</c:v>
                </c:pt>
                <c:pt idx="16">
                  <c:v>0.022321</c:v>
                </c:pt>
                <c:pt idx="17">
                  <c:v>0.027080</c:v>
                </c:pt>
                <c:pt idx="18">
                  <c:v>0.032455</c:v>
                </c:pt>
                <c:pt idx="19">
                  <c:v>0.038401</c:v>
                </c:pt>
                <c:pt idx="20">
                  <c:v>0.044827</c:v>
                </c:pt>
                <c:pt idx="21">
                  <c:v>0.051594</c:v>
                </c:pt>
                <c:pt idx="22">
                  <c:v>0.058505</c:v>
                </c:pt>
                <c:pt idx="23">
                  <c:v>0.065315</c:v>
                </c:pt>
                <c:pt idx="24">
                  <c:v>0.071731</c:v>
                </c:pt>
                <c:pt idx="25">
                  <c:v>0.077434</c:v>
                </c:pt>
                <c:pt idx="26">
                  <c:v>0.082094</c:v>
                </c:pt>
                <c:pt idx="27">
                  <c:v>0.085399</c:v>
                </c:pt>
                <c:pt idx="28">
                  <c:v>0.087087</c:v>
                </c:pt>
                <c:pt idx="29">
                  <c:v>0.086972</c:v>
                </c:pt>
                <c:pt idx="30">
                  <c:v>0.084973</c:v>
                </c:pt>
                <c:pt idx="31">
                  <c:v>0.081133</c:v>
                </c:pt>
                <c:pt idx="32">
                  <c:v>0.075618</c:v>
                </c:pt>
                <c:pt idx="33">
                  <c:v>0.068716</c:v>
                </c:pt>
                <c:pt idx="34">
                  <c:v>0.060807</c:v>
                </c:pt>
                <c:pt idx="35">
                  <c:v>0.052330</c:v>
                </c:pt>
                <c:pt idx="36">
                  <c:v>0.043737</c:v>
                </c:pt>
                <c:pt idx="37">
                  <c:v>0.035451</c:v>
                </c:pt>
                <c:pt idx="38">
                  <c:v>0.027825</c:v>
                </c:pt>
                <c:pt idx="39">
                  <c:v>0.021114</c:v>
                </c:pt>
                <c:pt idx="40">
                  <c:v>0.015463</c:v>
                </c:pt>
                <c:pt idx="41">
                  <c:v>0.010907</c:v>
                </c:pt>
                <c:pt idx="42">
                  <c:v>0.007391</c:v>
                </c:pt>
                <c:pt idx="43">
                  <c:v>0.004794</c:v>
                </c:pt>
                <c:pt idx="44">
                  <c:v>0.002954</c:v>
                </c:pt>
                <c:pt idx="45">
                  <c:v>0.001696</c:v>
                </c:pt>
                <c:pt idx="46">
                  <c:v>0.000849</c:v>
                </c:pt>
                <c:pt idx="47">
                  <c:v>0.000253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sm="smo" uri="smo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10"/>
        <c:axId val="11"/>
      </c:scatterChart>
      <c:valAx>
        <c:axId val="1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crossAx val="11"/>
        <c:crosses val="autoZero"/>
      </c:valAx>
      <c:valAx>
        <c:axId val="11"/>
        <c:scaling>
          <c:orientation val="minMax"/>
          <c:max val="0.150000"/>
          <c:min val="-0.050000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10"/>
        <c:crosses val="autoZero"/>
      </c:valAx>
    </c:plotArea>
    <c:plotVisOnly val="1"/>
    <c:dispBlanksAs val="gap"/>
  </c:chart>
  <c:spPr/>
  <c:txPr>
    <a:bodyPr anchor="ctr" anchorCtr="1" rot="0"/>
    <a:lstStyle/>
    <a:p>
      <a:pPr>
        <a:defRPr lang="en-gb" sz="1340" b="0" i="0" u="none" strike="noStrike">
          <a:solidFill>
            <a:srgbClr val="000000"/>
          </a:solidFill>
          <a:latin typeface="Arial"/>
        </a:defRPr>
      </a:pPr>
    </a:p>
  </c:txPr>
  <c:extLst>
    <c:ext xmlns:sm="smo" uri="smo">
      <sm:colorScheme xmlns:sm="smo" id="1675691075" val="7"/>
    </c:ext>
  </c:extLst>
</c:chartSpace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95250</xdr:colOff>
      <xdr:row>14</xdr:row>
      <xdr:rowOff>132715</xdr:rowOff>
    </xdr:from>
    <xdr:to>
      <xdr:col>22</xdr:col>
      <xdr:colOff>638175</xdr:colOff>
      <xdr:row>34</xdr:row>
      <xdr:rowOff>47625</xdr:rowOff>
    </xdr:to>
    <xdr:graphicFrame macro="">
      <xdr:nvGraphicFramePr>
        <xdr:cNvPr id="2" name="Chart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6"/>
  <sheetViews>
    <sheetView tabSelected="1" view="normal" topLeftCell="A14" workbookViewId="0">
      <selection activeCell="M43" sqref="M43"/>
    </sheetView>
  </sheetViews>
  <sheetFormatPr baseColWidth="9" defaultColWidth="10.000000" defaultRowHeight="13.45"/>
  <cols>
    <col min="13" max="13" width="12.567568" customWidth="1"/>
  </cols>
  <sheetData>
    <row r="1" spans="1:11">
      <c r="A1" s="4" t="s">
        <v>0</v>
      </c>
      <c r="B1" s="1" t="s">
        <v>1</v>
      </c>
      <c r="C1" s="1" t="s">
        <v>2</v>
      </c>
      <c r="D1" s="2" t="s">
        <v>3</v>
      </c>
      <c r="E1" s="2" t="n">
        <v>0.499369999999999958</v>
      </c>
      <c r="G1" s="5" t="s">
        <v>4</v>
      </c>
      <c r="H1" s="5" t="n">
        <v>10</v>
      </c>
      <c r="J1" t="s">
        <v>5</v>
      </c>
      <c r="K1">
        <f>((A6/H$1)^H$2-1)/((A6/H$1)^H$2+1)</f>
        <v>-0.904761904761904745</v>
      </c>
    </row>
    <row r="2" spans="4:11">
      <c r="D2" s="3" t="s">
        <v>6</v>
      </c>
      <c r="E2" s="3" t="n">
        <v>2</v>
      </c>
      <c r="G2" s="5" t="s">
        <v>7</v>
      </c>
      <c r="H2" s="5" t="n">
        <v>1</v>
      </c>
      <c r="J2" t="s">
        <v>8</v>
      </c>
      <c r="K2">
        <f>((A56/H$1)^H$2-1)/((A56/H$1)^H$2+1)</f>
        <v>-0.290322580645161299</v>
      </c>
    </row>
    <row r="3" spans="4:18">
      <c r="D3" s="3" t="s">
        <v>9</v>
      </c>
      <c r="E3" s="3" t="n">
        <v>0.1</v>
      </c>
      <c r="J3" t="s">
        <v>10</v>
      </c>
      <c r="K3">
        <f>(K2-K1)/(51-1)</f>
        <v>0.0122887864823348791</v>
      </c>
      <c r="R3" t="s">
        <v>11</v>
      </c>
    </row>
    <row r="4" spans="4:14">
      <c r="D4" t="n">
        <v>0</v>
      </c>
      <c r="N4" t="n">
        <v>0</v>
      </c>
    </row>
    <row r="5" spans="4:14">
      <c r="D5" t="n">
        <v>0.0001</v>
      </c>
      <c r="G5" s="6" t="s">
        <v>12</v>
      </c>
      <c r="H5" s="4" t="s">
        <v>0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n">
        <v>0.0001</v>
      </c>
    </row>
    <row r="6" spans="1:19">
      <c r="A6">
        <f>0.5</f>
        <v>0.5</v>
      </c>
      <c r="B6">
        <f>(A6-3)^2</f>
        <v>6.25</v>
      </c>
      <c r="C6">
        <f>2*$E$2*($E$1-B6)</f>
        <v>-23.0025200000000005</v>
      </c>
      <c r="D6">
        <f>D5*(2-$E$3^2*C6)-D4</f>
        <v>0.000223002520000000004</v>
      </c>
      <c r="G6">
        <f>K1</f>
        <v>-0.904761904761904745</v>
      </c>
      <c r="H6">
        <f>H$1*((1+G6)/(1-G6))^(1/H$2)</f>
        <v>0.5</v>
      </c>
      <c r="I6">
        <f>2*H$1*(1+G6)^(-1+1/H$2)/(H$2*(1-G6)^(1+1/H$2))</f>
        <v>5.51249999999996909</v>
      </c>
      <c r="J6">
        <f>(1-1/H$2^2)/(1-G6^2)^2</f>
        <v>0</v>
      </c>
      <c r="K6">
        <f>(H6-3)^2</f>
        <v>6.25</v>
      </c>
      <c r="L6">
        <f>2*$E$2*($E$1-K6)</f>
        <v>-23.0025200000000005</v>
      </c>
      <c r="M6">
        <f>L6*I6^2+J6</f>
        <v>-698.992670643743054</v>
      </c>
      <c r="N6">
        <f>N5*(2-K$3^2*M6)-N4</f>
        <v>0.000210555787013000018</v>
      </c>
      <c r="R6">
        <f>H6</f>
        <v>0.5</v>
      </c>
      <c r="S6">
        <f>N6</f>
        <v>0.000210555787013000018</v>
      </c>
    </row>
    <row r="7" spans="1:19">
      <c r="A7">
        <f>A6+E$3</f>
        <v>0.6</v>
      </c>
      <c r="B7">
        <f>(A7-3)^2</f>
        <v>5.75999999999999979</v>
      </c>
      <c r="C7">
        <f>2*$E$2*($E$1-B7)</f>
        <v>-21.0425199999999997</v>
      </c>
      <c r="D7">
        <f>D6*(2-E$3^2*C7)-D5</f>
        <v>0.000392930389871999974</v>
      </c>
      <c r="G7">
        <f>G6+K$3</f>
        <v>-0.892473118279569988</v>
      </c>
      <c r="H7">
        <f>H$1*((1+G7)/(1-G7))^(1/H$2)</f>
        <v>0.568181818181820031</v>
      </c>
      <c r="I7">
        <f>2*H$1*(1+G7)^(-1+1/H$2)/(H$2*(1-G7)^(1+1/H$2))</f>
        <v>5.5843233471074365</v>
      </c>
      <c r="J7">
        <f>(1-1/H$2^2)/(1-G7^2)^2</f>
        <v>0</v>
      </c>
      <c r="K7">
        <f>(H7-3)^2</f>
        <v>5.91373966942147788</v>
      </c>
      <c r="L7">
        <f>2*$E$2*($E$1-K7)</f>
        <v>-21.6574786776859192</v>
      </c>
      <c r="M7">
        <f>L7*I7^2+J7</f>
        <v>-675.381265930383051</v>
      </c>
      <c r="N7">
        <f>N6*(2-K$3^2*M7)-N5</f>
        <v>0.000342586624285000019</v>
      </c>
      <c r="R7">
        <f>H7</f>
        <v>0.568181818181820031</v>
      </c>
      <c r="S7">
        <f>N7</f>
        <v>0.000342586624285000019</v>
      </c>
    </row>
    <row r="8" spans="1:19">
      <c r="A8">
        <f>A7+E$3</f>
        <v>0.7</v>
      </c>
      <c r="B8">
        <f>(A8-3)^2</f>
        <v>5.28999999999999915</v>
      </c>
      <c r="C8">
        <f>2*$E$2*($E$1-B8)</f>
        <v>-19.1625200000000007</v>
      </c>
      <c r="D8">
        <f>D7*(2-E$3^2*C8)-D6</f>
        <v>0.000638153624289000021</v>
      </c>
      <c r="G8">
        <f>G7+K$3</f>
        <v>-0.880184331797235053</v>
      </c>
      <c r="H8">
        <f>H$1*((1+G8)/(1-G8))^(1/H$2)</f>
        <v>0.637254901960779918</v>
      </c>
      <c r="I8">
        <f>2*H$1*(1+G8)^(-1+1/H$2)/(H$2*(1-G8)^(1+1/H$2))</f>
        <v>5.65755959246441265</v>
      </c>
      <c r="J8">
        <f>(1-1/H$2^2)/(1-G8^2)^2</f>
        <v>0</v>
      </c>
      <c r="K8">
        <f>(H8-3)^2</f>
        <v>5.58256439830836371</v>
      </c>
      <c r="L8">
        <f>2*$E$2*($E$1-K8)</f>
        <v>-20.3327775932334411</v>
      </c>
      <c r="M8">
        <f>L8*I8^2+J8</f>
        <v>-650.811149574846013</v>
      </c>
      <c r="N8">
        <f>N7*(2-K$3^2*M8)-N6</f>
        <v>0.000508287482311999916</v>
      </c>
      <c r="R8">
        <f>H8</f>
        <v>0.637254901960779918</v>
      </c>
      <c r="S8">
        <f>N8</f>
        <v>0.000508287482311999916</v>
      </c>
    </row>
    <row r="9" spans="1:19">
      <c r="A9">
        <f>A8+E$3</f>
        <v>0.799999999999999911</v>
      </c>
      <c r="B9">
        <f>(A9-3)^2</f>
        <v>4.84000000000000075</v>
      </c>
      <c r="C9">
        <f>2*$E$2*($E$1-B9)</f>
        <v>-17.36252</v>
      </c>
      <c r="D9">
        <f>D8*(2-E$3^2*C9)-D7</f>
        <v>0.000994176409353999979</v>
      </c>
      <c r="G9">
        <f>G8+K$3</f>
        <v>-0.867895545314899941</v>
      </c>
      <c r="H9">
        <f>H$1*((1+G9)/(1-G9))^(1/H$2)</f>
        <v>0.707236842105259989</v>
      </c>
      <c r="I9">
        <f>2*H$1*(1+G9)^(-1+1/H$2)/(H$2*(1-G9)^(1+1/H$2))</f>
        <v>5.73224603964681201</v>
      </c>
      <c r="J9">
        <f>(1-1/H$2^2)/(1-G9^2)^2</f>
        <v>0</v>
      </c>
      <c r="K9">
        <f>(H9-3)^2</f>
        <v>5.25676289819945985</v>
      </c>
      <c r="L9">
        <f>2*$E$2*($E$1-K9)</f>
        <v>-19.0295715927978399</v>
      </c>
      <c r="M9">
        <f>L9*I9^2+J9</f>
        <v>-625.285930981629008</v>
      </c>
      <c r="N9">
        <f>N8*(2-K$3^2*M9)-N7</f>
        <v>0.000721984453471000087</v>
      </c>
      <c r="R9">
        <f>H9</f>
        <v>0.707236842105259989</v>
      </c>
      <c r="S9">
        <f>N9</f>
        <v>0.000721984453471000087</v>
      </c>
    </row>
    <row r="10" spans="1:19">
      <c r="A10">
        <f>A9+E$3</f>
        <v>0.9</v>
      </c>
      <c r="B10">
        <f>(A10-3)^2</f>
        <v>4.41000000000000014</v>
      </c>
      <c r="C10">
        <f>2*$E$2*($E$1-B10)</f>
        <v>-15.6425199999999993</v>
      </c>
      <c r="D10">
        <f>D9*(2-E$3^2*C10)-D8</f>
        <v>0.00150571343808699982</v>
      </c>
      <c r="G10">
        <f>G9+K$3</f>
        <v>-0.855606758832565006</v>
      </c>
      <c r="H10">
        <f>H$1*((1+G10)/(1-G10))^(1/H$2)</f>
        <v>0.778145695364240098</v>
      </c>
      <c r="I10">
        <f>2*H$1*(1+G10)^(-1+1/H$2)/(H$2*(1-G10)^(1+1/H$2))</f>
        <v>5.8084212315248962</v>
      </c>
      <c r="J10">
        <f>(1-1/H$2^2)/(1-G10^2)^2</f>
        <v>0</v>
      </c>
      <c r="K10">
        <f>(H10-3)^2</f>
        <v>4.93663655102845755</v>
      </c>
      <c r="L10">
        <f>2*$E$2*($E$1-K10)</f>
        <v>-17.7490662041138414</v>
      </c>
      <c r="M10">
        <f>L10*I10^2+J10</f>
        <v>-598.813686171332961</v>
      </c>
      <c r="N10">
        <f>N9*(2-K$3^2*M10)-N8</f>
        <v>0.00100097005538900019</v>
      </c>
      <c r="R10">
        <f>H10</f>
        <v>0.778145695364240098</v>
      </c>
      <c r="S10">
        <f>N10</f>
        <v>0.00100097005538900019</v>
      </c>
    </row>
    <row r="11" spans="1:19">
      <c r="A11">
        <f>A10+E$3</f>
        <v>1</v>
      </c>
      <c r="B11">
        <f>(A11-3)^2</f>
        <v>4</v>
      </c>
      <c r="C11">
        <f>2*$E$2*($E$1-B11)</f>
        <v>-14.0025200000000005</v>
      </c>
      <c r="D11">
        <f>D10*(2-E$3^2*C11)-D9</f>
        <v>0.00222808829213100035</v>
      </c>
      <c r="G11">
        <f>G10+K$3</f>
        <v>-0.843317972350229894</v>
      </c>
      <c r="H11">
        <f>H$1*((1+G11)/(1-G11))^(1/H$2)</f>
        <v>0.85</v>
      </c>
      <c r="I11">
        <f>2*H$1*(1+G11)^(-1+1/H$2)/(H$2*(1-G11)^(1+1/H$2))</f>
        <v>5.88612500000000871</v>
      </c>
      <c r="J11">
        <f>(1-1/H$2^2)/(1-G11^2)^2</f>
        <v>0</v>
      </c>
      <c r="K11">
        <f>(H11-3)^2</f>
        <v>4.62249999999999961</v>
      </c>
      <c r="L11">
        <f>2*$E$2*($E$1-K11)</f>
        <v>-16.492519999999999</v>
      </c>
      <c r="M11">
        <f>L11*I11^2+J11</f>
        <v>-571.407558430797053</v>
      </c>
      <c r="N11">
        <f>N10*(2-K$3^2*M11)-N9</f>
        <v>0.001366330061205</v>
      </c>
      <c r="R11">
        <f>H11</f>
        <v>0.85</v>
      </c>
      <c r="S11">
        <f>N11</f>
        <v>0.001366330061205</v>
      </c>
    </row>
    <row r="12" spans="1:19">
      <c r="A12">
        <f>A11+E$3</f>
        <v>1.10000000000000009</v>
      </c>
      <c r="B12">
        <f>(A12-3)^2</f>
        <v>3.60999999999999988</v>
      </c>
      <c r="C12">
        <f>2*$E$2*($E$1-B12)</f>
        <v>-12.44252</v>
      </c>
      <c r="D12">
        <f>D11*(2-E$3^2*C12)-D10</f>
        <v>0.00322769347754100044</v>
      </c>
      <c r="G12">
        <f>G11+K$3</f>
        <v>-0.831029185867894959</v>
      </c>
      <c r="H12">
        <f>H$1*((1+G12)/(1-G12))^(1/H$2)</f>
        <v>0.922818791946309958</v>
      </c>
      <c r="I12">
        <f>2*H$1*(1+G12)^(-1+1/H$2)/(H$2*(1-G12)^(1+1/H$2))</f>
        <v>5.96539851808473287</v>
      </c>
      <c r="J12">
        <f>(1-1/H$2^2)/(1-G12^2)^2</f>
        <v>0</v>
      </c>
      <c r="K12">
        <f>(H12-3)^2</f>
        <v>4.31468177109138828</v>
      </c>
      <c r="L12">
        <f>2*$E$2*($E$1-K12)</f>
        <v>-15.2612470843655608</v>
      </c>
      <c r="M12">
        <f>L12*I12^2+J12</f>
        <v>-543.086425576844022</v>
      </c>
      <c r="N12">
        <f>N11*(2-K$3^2*M12)-N10</f>
        <v>0.00184374798991900022</v>
      </c>
      <c r="R12">
        <f>H12</f>
        <v>0.922818791946309958</v>
      </c>
      <c r="S12">
        <f>N12</f>
        <v>0.00184374798991900022</v>
      </c>
    </row>
    <row r="13" spans="1:19">
      <c r="A13">
        <f>A12+E$3</f>
        <v>1.20000000000000018</v>
      </c>
      <c r="B13">
        <f>(A13-3)^2</f>
        <v>3.24000000000000021</v>
      </c>
      <c r="C13">
        <f>2*$E$2*($E$1-B13)</f>
        <v>-10.9625199999999996</v>
      </c>
      <c r="D13">
        <f>D12*(2-E$3^2*C13)-D11</f>
        <v>0.00458113520596500035</v>
      </c>
      <c r="G13">
        <f>G12+K$3</f>
        <v>-0.818740399385560025</v>
      </c>
      <c r="H13">
        <f>H$1*((1+G13)/(1-G13))^(1/H$2)</f>
        <v>0.996621621621630105</v>
      </c>
      <c r="I13">
        <f>2*H$1*(1+G13)^(-1+1/H$2)/(H$2*(1-G13)^(1+1/H$2))</f>
        <v>6.04628435445580514</v>
      </c>
      <c r="J13">
        <f>(1-1/H$2^2)/(1-G13^2)^2</f>
        <v>0</v>
      </c>
      <c r="K13">
        <f>(H13-3)^2</f>
        <v>4.01352492695394769</v>
      </c>
      <c r="L13">
        <f>2*$E$2*($E$1-K13)</f>
        <v>-14.0566197078158002</v>
      </c>
      <c r="M13">
        <f>L13*I13^2+J13</f>
        <v>-513.875640983083031</v>
      </c>
      <c r="N13">
        <f>N12*(2-K$3^2*M13)-N11</f>
        <v>0.00246424547608599998</v>
      </c>
      <c r="R13">
        <f>H13</f>
        <v>0.996621621621630105</v>
      </c>
      <c r="S13">
        <f>N13</f>
        <v>0.00246424547608599998</v>
      </c>
    </row>
    <row r="14" spans="1:19">
      <c r="A14">
        <f>A13+E$3</f>
        <v>1.30000000000000004</v>
      </c>
      <c r="B14">
        <f>(A14-3)^2</f>
        <v>2.88999999999999968</v>
      </c>
      <c r="C14">
        <f>2*$E$2*($E$1-B14)</f>
        <v>-9.56251999999999924</v>
      </c>
      <c r="D14">
        <f>D13*(2-E$3^2*C14)-D12</f>
        <v>0.00637264890468600065</v>
      </c>
      <c r="G14">
        <f>G13+K$3</f>
        <v>-0.806451612903224913</v>
      </c>
      <c r="H14">
        <f>H$1*((1+G14)/(1-G14))^(1/H$2)</f>
        <v>1.07142857142857006</v>
      </c>
      <c r="I14">
        <f>2*H$1*(1+G14)^(-1+1/H$2)/(H$2*(1-G14)^(1+1/H$2))</f>
        <v>6.12882653061221916</v>
      </c>
      <c r="J14">
        <f>(1-1/H$2^2)/(1-G14^2)^2</f>
        <v>0</v>
      </c>
      <c r="K14">
        <f>(H14-3)^2</f>
        <v>3.719387755102046</v>
      </c>
      <c r="L14">
        <f>2*$E$2*($E$1-K14)</f>
        <v>-12.8800710204082005</v>
      </c>
      <c r="M14">
        <f>L14*I14^2+J14</f>
        <v>-483.807856298413014</v>
      </c>
      <c r="N14">
        <f>N13*(2-K$3^2*M14)-N12</f>
        <v>0.00326478539857399985</v>
      </c>
      <c r="R14">
        <f>H14</f>
        <v>1.07142857142857006</v>
      </c>
      <c r="S14">
        <f>N14</f>
        <v>0.00326478539857399985</v>
      </c>
    </row>
    <row r="15" spans="1:19">
      <c r="A15">
        <f>A14+E$3</f>
        <v>1.40000000000000018</v>
      </c>
      <c r="B15">
        <f>(A15-3)^2</f>
        <v>2.5600000000000005</v>
      </c>
      <c r="C15">
        <f>2*$E$2*($E$1-B15)</f>
        <v>-8.24252000000000073</v>
      </c>
      <c r="D15">
        <f>D14*(2-E$3^2*C15)-D13</f>
        <v>0.00868942946390599857</v>
      </c>
      <c r="G15">
        <f>G14+K$3</f>
        <v>-0.794162826420889978</v>
      </c>
      <c r="H15">
        <f>H$1*((1+G15)/(1-G15))^(1/H$2)</f>
        <v>1.14726027397260988</v>
      </c>
      <c r="I15">
        <f>2*H$1*(1+G15)^(-1+1/H$2)/(H$2*(1-G15)^(1+1/H$2))</f>
        <v>6.2130705807843869</v>
      </c>
      <c r="J15">
        <f>(1-1/H$2^2)/(1-G15^2)^2</f>
        <v>0</v>
      </c>
      <c r="K15">
        <f>(H15-3)^2</f>
        <v>3.43264449240004765</v>
      </c>
      <c r="L15">
        <f>2*$E$2*($E$1-K15)</f>
        <v>-11.7330979696002</v>
      </c>
      <c r="M15">
        <f>L15*I15^2+J15</f>
        <v>-452.923934655151015</v>
      </c>
      <c r="N15">
        <f>N14*(2-K$3^2*M15)-N13</f>
        <v>0.00428863004357399991</v>
      </c>
      <c r="R15">
        <f>H15</f>
        <v>1.14726027397260988</v>
      </c>
      <c r="S15">
        <f>N15</f>
        <v>0.00428863004357399991</v>
      </c>
    </row>
    <row r="16" spans="1:19">
      <c r="A16">
        <f>A15+E$3</f>
        <v>1.5</v>
      </c>
      <c r="B16">
        <f>(A16-3)^2</f>
        <v>2.25</v>
      </c>
      <c r="C16">
        <f>2*$E$2*($E$1-B16)</f>
        <v>-7.00251999999999963</v>
      </c>
      <c r="D16">
        <f>D15*(2-E$3^2*C16)-D14</f>
        <v>0.0116146890592220009</v>
      </c>
      <c r="G16">
        <f>G15+K$3</f>
        <v>-0.781874039938554954</v>
      </c>
      <c r="H16">
        <f>H$1*((1+G16)/(1-G16))^(1/H$2)</f>
        <v>1.22413793103448998</v>
      </c>
      <c r="I16">
        <f>2*H$1*(1+G16)^(-1+1/H$2)/(H$2*(1-G16)^(1+1/H$2))</f>
        <v>6.29906361474431442</v>
      </c>
      <c r="J16">
        <f>(1-1/H$2^2)/(1-G16^2)^2</f>
        <v>0</v>
      </c>
      <c r="K16">
        <f>(H16-3)^2</f>
        <v>3.15368608799046202</v>
      </c>
      <c r="L16">
        <f>2*$E$2*($E$1-K16)</f>
        <v>-10.6172643519618397</v>
      </c>
      <c r="M16">
        <f>L16*I16^2+J16</f>
        <v>-421.273964131351022</v>
      </c>
      <c r="N16">
        <f>N15*(2-K$3^2*M16)-N14</f>
        <v>0.00558531039086199943</v>
      </c>
      <c r="R16">
        <f>H16</f>
        <v>1.22413793103448998</v>
      </c>
      <c r="S16">
        <f>N16</f>
        <v>0.00558531039086199943</v>
      </c>
    </row>
    <row r="17" spans="1:19">
      <c r="A17">
        <f>A16+E$3</f>
        <v>1.60000000000000009</v>
      </c>
      <c r="B17">
        <f>(A17-3)^2</f>
        <v>1.95999999999999979</v>
      </c>
      <c r="C17">
        <f>2*$E$2*($E$1-B17)</f>
        <v>-5.84252000000000038</v>
      </c>
      <c r="D17">
        <f>D16*(2-E$3^2*C17)-D15</f>
        <v>0.0152185391857609975</v>
      </c>
      <c r="G17">
        <f>G16+K$3</f>
        <v>-0.769585253456219931</v>
      </c>
      <c r="H17">
        <f>H$1*((1+G17)/(1-G17))^(1/H$2)</f>
        <v>1.30208333333334014</v>
      </c>
      <c r="I17">
        <f>2*H$1*(1+G17)^(-1+1/H$2)/(H$2*(1-G17)^(1+1/H$2))</f>
        <v>6.38685438368057312</v>
      </c>
      <c r="J17">
        <f>(1-1/H$2^2)/(1-G17^2)^2</f>
        <v>0</v>
      </c>
      <c r="K17">
        <f>(H17-3)^2</f>
        <v>2.8829210069444219</v>
      </c>
      <c r="L17">
        <f>2*$E$2*($E$1-K17)</f>
        <v>-9.53420402777767961</v>
      </c>
      <c r="M17">
        <f>L17*I17^2+J17</f>
        <v>-388.918382309975016</v>
      </c>
      <c r="N17">
        <f>N16*(2-K$3^2*M17)-N15</f>
        <v>0.0072100284550079996</v>
      </c>
      <c r="R17">
        <f>H17</f>
        <v>1.30208333333334014</v>
      </c>
      <c r="S17">
        <f>N17</f>
        <v>0.0072100284550079996</v>
      </c>
    </row>
    <row r="18" spans="1:19">
      <c r="A18">
        <f>A17+E$3</f>
        <v>1.70000000000000018</v>
      </c>
      <c r="B18">
        <f>(A18-3)^2</f>
        <v>1.69000000000000021</v>
      </c>
      <c r="C18">
        <f>2*$E$2*($E$1-B18)</f>
        <v>-4.76252000000000031</v>
      </c>
      <c r="D18">
        <f>D17*(2-E$3^2*C18)-D16</f>
        <v>0.0195471752847300007</v>
      </c>
      <c r="G18">
        <f>G17+K$3</f>
        <v>-0.757296466973884996</v>
      </c>
      <c r="H18">
        <f>H$1*((1+G18)/(1-G18))^(1/H$2)</f>
        <v>1.38111888111888991</v>
      </c>
      <c r="I18">
        <f>2*H$1*(1+G18)^(-1+1/H$2)/(H$2*(1-G18)^(1+1/H$2))</f>
        <v>6.47649334930799903</v>
      </c>
      <c r="J18">
        <f>(1-1/H$2^2)/(1-G18^2)^2</f>
        <v>0</v>
      </c>
      <c r="K18">
        <f>(H18-3)^2</f>
        <v>2.62077607706975479</v>
      </c>
      <c r="L18">
        <f>2*$E$2*($E$1-K18)</f>
        <v>-8.48562430827903924</v>
      </c>
      <c r="M18">
        <f>L18*I18^2+J18</f>
        <v>-355.929223978909988</v>
      </c>
      <c r="N18">
        <f>N17*(2-K$3^2*M18)-N16</f>
        <v>0.00922228838267599826</v>
      </c>
      <c r="R18">
        <f>H18</f>
        <v>1.38111888111888991</v>
      </c>
      <c r="S18">
        <f>N18</f>
        <v>0.00922228838267599826</v>
      </c>
    </row>
    <row r="19" spans="1:19">
      <c r="A19">
        <f>A18+E$3</f>
        <v>1.8</v>
      </c>
      <c r="B19">
        <f>(A19-3)^2</f>
        <v>1.43999999999999995</v>
      </c>
      <c r="C19">
        <f>2*$E$2*($E$1-B19)</f>
        <v>-3.76251999999999986</v>
      </c>
      <c r="D19">
        <f>D18*(2-E$3^2*C19)-D17</f>
        <v>0.0246112777632220014</v>
      </c>
      <c r="G19">
        <f>G18+K$3</f>
        <v>-0.745007680491549973</v>
      </c>
      <c r="H19">
        <f>H$1*((1+G19)/(1-G19))^(1/H$2)</f>
        <v>1.46126760563381008</v>
      </c>
      <c r="I19">
        <f>2*H$1*(1+G19)^(-1+1/H$2)/(H$2*(1-G19)^(1+1/H$2))</f>
        <v>6.56803275639755046</v>
      </c>
      <c r="J19">
        <f>(1-1/H$2^2)/(1-G19^2)^2</f>
        <v>0</v>
      </c>
      <c r="K19">
        <f>(H19-3)^2</f>
        <v>2.367697381471908</v>
      </c>
      <c r="L19">
        <f>2*$E$2*($E$1-K19)</f>
        <v>-7.47330952588763964</v>
      </c>
      <c r="M19">
        <f>L19*I19^2+J19</f>
        <v>-322.391505356598998</v>
      </c>
      <c r="N19">
        <f>N18*(2-K$3^2*M19)-N17</f>
        <v>0.0116835420498800002</v>
      </c>
      <c r="R19">
        <f>H19</f>
        <v>1.46126760563381008</v>
      </c>
      <c r="S19">
        <f>N19</f>
        <v>0.0116835420498800002</v>
      </c>
    </row>
    <row r="20" spans="1:19">
      <c r="A20">
        <f>A19+E$3</f>
        <v>1.90000000000000018</v>
      </c>
      <c r="B20">
        <f>(A20-3)^2</f>
        <v>1.21000000000000019</v>
      </c>
      <c r="C20">
        <f>2*$E$2*($E$1-B20)</f>
        <v>-2.84252000000000002</v>
      </c>
      <c r="D20">
        <f>D19*(2-E$3^2*C20)-D18</f>
        <v>0.0303749607343889938</v>
      </c>
      <c r="G20">
        <f>G19+K$3</f>
        <v>-0.732718894009214949</v>
      </c>
      <c r="H20">
        <f>H$1*((1+G20)/(1-G20))^(1/H$2)</f>
        <v>1.54255319148936998</v>
      </c>
      <c r="I20">
        <f>2*H$1*(1+G20)^(-1+1/H$2)/(H$2*(1-G20)^(1+1/H$2))</f>
        <v>6.66152670891804632</v>
      </c>
      <c r="J20">
        <f>(1-1/H$2^2)/(1-G20^2)^2</f>
        <v>0</v>
      </c>
      <c r="K20">
        <f>(H20-3)^2</f>
        <v>2.12415119963782084</v>
      </c>
      <c r="L20">
        <f>2*$E$2*($E$1-K20)</f>
        <v>-6.49912479855128034</v>
      </c>
      <c r="M20">
        <f>L20*I20^2+J20</f>
        <v>-288.404759723278005</v>
      </c>
      <c r="N20">
        <f>N19*(2-K$3^2*M20)-N18</f>
        <v>0.0146536517717099972</v>
      </c>
      <c r="R20">
        <f>H20</f>
        <v>1.54255319148936998</v>
      </c>
      <c r="S20">
        <f>N20</f>
        <v>0.0146536517717099972</v>
      </c>
    </row>
    <row r="21" spans="1:19">
      <c r="A21">
        <f>A20+E$3</f>
        <v>2</v>
      </c>
      <c r="B21">
        <f>(A21-3)^2</f>
        <v>1</v>
      </c>
      <c r="C21">
        <f>2*$E$2*($E$1-B21)</f>
        <v>-2.00252000000000008</v>
      </c>
      <c r="D21">
        <f>D20*(2-E$3^2*C21)-D19</f>
        <v>0.0367469083692539922</v>
      </c>
      <c r="G21">
        <f>G20+K$3</f>
        <v>-0.720430107526880015</v>
      </c>
      <c r="H21">
        <f>H$1*((1+G21)/(1-G21))^(1/H$2)</f>
        <v>1.62500000000000995</v>
      </c>
      <c r="I21">
        <f>2*H$1*(1+G21)^(-1+1/H$2)/(H$2*(1-G21)^(1+1/H$2))</f>
        <v>6.75703125000001759</v>
      </c>
      <c r="J21">
        <f>(1-1/H$2^2)/(1-G21^2)^2</f>
        <v>0</v>
      </c>
      <c r="K21">
        <f>(H21-3)^2</f>
        <v>1.89062499999997247</v>
      </c>
      <c r="L21">
        <f>2*$E$2*($E$1-K21)</f>
        <v>-5.56501999999987973</v>
      </c>
      <c r="M21">
        <f>L21*I21^2+J21</f>
        <v>-254.084741008918996</v>
      </c>
      <c r="N21">
        <f>N20*(2-K$3^2*M21)-N19</f>
        <v>0.0181860283031400005</v>
      </c>
      <c r="R21">
        <f>H21</f>
        <v>1.62500000000000995</v>
      </c>
      <c r="S21">
        <f>N21</f>
        <v>0.0181860283031400005</v>
      </c>
    </row>
    <row r="22" spans="1:19">
      <c r="A22">
        <f>A21+E$3</f>
        <v>2.10000000000000009</v>
      </c>
      <c r="B22">
        <f>(A22-3)^2</f>
        <v>0.810000000000000142</v>
      </c>
      <c r="C22">
        <f>2*$E$2*($E$1-B22)</f>
        <v>-1.24252000000000007</v>
      </c>
      <c r="D22">
        <f>D21*(2-E$3^2*C22)-D20</f>
        <v>0.0435754436899889974</v>
      </c>
      <c r="G22">
        <f>G21+K$3</f>
        <v>-0.708141321044544991</v>
      </c>
      <c r="H22">
        <f>H$1*((1+G22)/(1-G22))^(1/H$2)</f>
        <v>1.70863309352519011</v>
      </c>
      <c r="I22">
        <f>2*H$1*(1+G22)^(-1+1/H$2)/(H$2*(1-G22)^(1+1/H$2))</f>
        <v>6.85460444593962759</v>
      </c>
      <c r="J22">
        <f>(1-1/H$2^2)/(1-G22^2)^2</f>
        <v>0</v>
      </c>
      <c r="K22">
        <f>(H22-3)^2</f>
        <v>1.66762848713832046</v>
      </c>
      <c r="L22">
        <f>2*$E$2*($E$1-K22)</f>
        <v>-4.67303394855327969</v>
      </c>
      <c r="M22">
        <f>L22*I22^2+J22</f>
        <v>-219.565313754626999</v>
      </c>
      <c r="N22">
        <f>N21*(2-K$3^2*M22)-N20</f>
        <v>0.022321408000348999</v>
      </c>
      <c r="R22">
        <f>H22</f>
        <v>1.70863309352519011</v>
      </c>
      <c r="S22">
        <f>N22</f>
        <v>0.022321408000348999</v>
      </c>
    </row>
    <row r="23" spans="1:19">
      <c r="A23">
        <f>A22+E$3</f>
        <v>2.20000000000000018</v>
      </c>
      <c r="B23">
        <f>(A23-3)^2</f>
        <v>0.640000000000000124</v>
      </c>
      <c r="C23">
        <f>2*$E$2*($E$1-B23)</f>
        <v>-0.562520000000000042</v>
      </c>
      <c r="D23">
        <f>D22*(2-E$3^2*C23)-D21</f>
        <v>0.0506490995965689983</v>
      </c>
      <c r="G23">
        <f>G22+K$3</f>
        <v>-0.695852534562209968</v>
      </c>
      <c r="H23">
        <f>H$1*((1+G23)/(1-G23))^(1/H$2)</f>
        <v>1.79347826086958007</v>
      </c>
      <c r="I23">
        <f>2*H$1*(1+G23)^(-1+1/H$2)/(H$2*(1-G23)^(1+1/H$2))</f>
        <v>6.95430647448017147</v>
      </c>
      <c r="J23">
        <f>(1-1/H$2^2)/(1-G23^2)^2</f>
        <v>0</v>
      </c>
      <c r="K23">
        <f>(H23-3)^2</f>
        <v>1.45569470699429315</v>
      </c>
      <c r="L23">
        <f>2*$E$2*($E$1-K23)</f>
        <v>-3.82529882797715981</v>
      </c>
      <c r="M23">
        <f>L23*I23^2+J23</f>
        <v>-185.000549951062993</v>
      </c>
      <c r="N23">
        <f>N22*(2-K$3^2*M23)-N21</f>
        <v>0.0270803970244989989</v>
      </c>
      <c r="R23">
        <f>H23</f>
        <v>1.79347826086958007</v>
      </c>
      <c r="S23">
        <f>N23</f>
        <v>0.0270803970244989989</v>
      </c>
    </row>
    <row r="24" spans="1:19">
      <c r="A24">
        <f>A23+E$3</f>
        <v>2.30000000000000027</v>
      </c>
      <c r="B24">
        <f>(A24-3)^2</f>
        <v>0.489999999999999947</v>
      </c>
      <c r="C24">
        <f>2*$E$2*($E$1-B24)</f>
        <v>0.0374800000000000022</v>
      </c>
      <c r="D24">
        <f>D23*(2-E$3^2*C24)-D22</f>
        <v>0.0577037722206199977</v>
      </c>
      <c r="G24">
        <f>G23+K$3</f>
        <v>-0.683563748079874944</v>
      </c>
      <c r="H24">
        <f>H$1*((1+G24)/(1-G24))^(1/H$2)</f>
        <v>1.87956204379563019</v>
      </c>
      <c r="I24">
        <f>2*H$1*(1+G24)^(-1+1/H$2)/(H$2*(1-G24)^(1+1/H$2))</f>
        <v>7.05619971761946374</v>
      </c>
      <c r="J24">
        <f>(1-1/H$2^2)/(1-G24^2)^2</f>
        <v>0</v>
      </c>
      <c r="K24">
        <f>(H24-3)^2</f>
        <v>1.25538121370342592</v>
      </c>
      <c r="L24">
        <f>2*$E$2*($E$1-K24)</f>
        <v>-3.02404485481372021</v>
      </c>
      <c r="M24">
        <f>L24*I24^2+J24</f>
        <v>-150.567055590850003</v>
      </c>
      <c r="N24">
        <f>N23*(2-K$3^2*M24)-N22</f>
        <v>0.0324551340087260076</v>
      </c>
      <c r="R24">
        <f>H24</f>
        <v>1.87956204379563019</v>
      </c>
      <c r="S24">
        <f>N24</f>
        <v>0.0324551340087260076</v>
      </c>
    </row>
    <row r="25" spans="1:19">
      <c r="A25">
        <f>A24+E$3</f>
        <v>2.39999999999999991</v>
      </c>
      <c r="B25">
        <f>(A25-3)^2</f>
        <v>0.359999999999999964</v>
      </c>
      <c r="C25">
        <f>2*$E$2*($E$1-B25)</f>
        <v>0.557479999999999976</v>
      </c>
      <c r="D25">
        <f>D24*(2-E$3^2*C25)-D23</f>
        <v>0.0644367578552960119</v>
      </c>
      <c r="G25">
        <f>G24+K$3</f>
        <v>-0.671274961597539921</v>
      </c>
      <c r="H25">
        <f>H$1*((1+G25)/(1-G25))^(1/H$2)</f>
        <v>1.96691176470590001</v>
      </c>
      <c r="I25">
        <f>2*H$1*(1+G25)^(-1+1/H$2)/(H$2*(1-G25)^(1+1/H$2))</f>
        <v>7.16034885921281905</v>
      </c>
      <c r="J25">
        <f>(1-1/H$2^2)/(1-G25^2)^2</f>
        <v>0</v>
      </c>
      <c r="K25">
        <f>(H25-3)^2</f>
        <v>1.06727130190307773</v>
      </c>
      <c r="L25">
        <f>2*$E$2*($E$1-K25)</f>
        <v>-2.27160520761231988</v>
      </c>
      <c r="M25">
        <f>L25*I25^2+J25</f>
        <v>-116.466552384023998</v>
      </c>
      <c r="N25">
        <f>N24*(2-K$3^2*M25)-N23</f>
        <v>0.0384006955171269979</v>
      </c>
      <c r="R25">
        <f>H25</f>
        <v>1.96691176470590001</v>
      </c>
      <c r="S25">
        <f>N25</f>
        <v>0.0384006955171269979</v>
      </c>
    </row>
    <row r="26" spans="1:19">
      <c r="A26">
        <f>A25+E$3</f>
        <v>2.5</v>
      </c>
      <c r="B26">
        <f>(A26-3)^2</f>
        <v>0.25</v>
      </c>
      <c r="C26">
        <f>2*$E$2*($E$1-B26)</f>
        <v>0.997480000000000011</v>
      </c>
      <c r="D26">
        <f>D25*(2-E$3^2*C26)-D24</f>
        <v>0.0705269997177170094</v>
      </c>
      <c r="G26">
        <f>G25+K$3</f>
        <v>-0.658986175115204986</v>
      </c>
      <c r="H26">
        <f>H$1*((1+G26)/(1-G26))^(1/H$2)</f>
        <v>2.05555555555557001</v>
      </c>
      <c r="I26">
        <f>2*H$1*(1+G26)^(-1+1/H$2)/(H$2*(1-G26)^(1+1/H$2))</f>
        <v>7.2668209876543095</v>
      </c>
      <c r="J26">
        <f>(1-1/H$2^2)/(1-G26^2)^2</f>
        <v>0</v>
      </c>
      <c r="K26">
        <f>(H26-3)^2</f>
        <v>0.891975308641947962</v>
      </c>
      <c r="L26">
        <f>2*$E$2*($E$1-K26)</f>
        <v>-1.57042123456779192</v>
      </c>
      <c r="M26">
        <f>L26*I26^2+J26</f>
        <v>-82.9287430106699048</v>
      </c>
      <c r="N26">
        <f>N25*(2-K$3^2*M26)-N24</f>
        <v>0.0448271652117699926</v>
      </c>
      <c r="R26">
        <f>H26</f>
        <v>2.05555555555557001</v>
      </c>
      <c r="S26">
        <f>N26</f>
        <v>0.0448271652117699926</v>
      </c>
    </row>
    <row r="27" spans="1:19">
      <c r="A27">
        <f>A26+E$3</f>
        <v>2.60000000000000009</v>
      </c>
      <c r="B27">
        <f>(A27-3)^2</f>
        <v>0.160000000000000036</v>
      </c>
      <c r="C27">
        <f>2*$E$2*($E$1-B27)</f>
        <v>1.35748000000000002</v>
      </c>
      <c r="D27">
        <f>D26*(2-E$3^2*C27)-D25</f>
        <v>0.0756598516643699881</v>
      </c>
      <c r="G27">
        <f>G26+K$3</f>
        <v>-0.646697388632869963</v>
      </c>
      <c r="H27">
        <f>H$1*((1+G27)/(1-G27))^(1/H$2)</f>
        <v>2.14552238805972006</v>
      </c>
      <c r="I27">
        <f>2*H$1*(1+G27)^(-1+1/H$2)/(H$2*(1-G27)^(1+1/H$2))</f>
        <v>7.37568570394300327</v>
      </c>
      <c r="J27">
        <f>(1-1/H$2^2)/(1-G27^2)^2</f>
        <v>0</v>
      </c>
      <c r="K27">
        <f>(H27-3)^2</f>
        <v>0.730131989307163831</v>
      </c>
      <c r="L27">
        <f>2*$E$2*($E$1-K27)</f>
        <v>-0.923047957228656024</v>
      </c>
      <c r="M27">
        <f>L27*I27^2+J27</f>
        <v>-50.2144915625994983</v>
      </c>
      <c r="N27">
        <f>N26*(2-K$3^2*M27)-N25</f>
        <v>0.0515935640047279964</v>
      </c>
      <c r="R27">
        <f>H27</f>
        <v>2.14552238805972006</v>
      </c>
      <c r="S27">
        <f>N27</f>
        <v>0.0515935640047279964</v>
      </c>
    </row>
    <row r="28" spans="1:19">
      <c r="A28">
        <f>A27+E$3</f>
        <v>2.70000000000000018</v>
      </c>
      <c r="B28">
        <f>(A28-3)^2</f>
        <v>0.09</v>
      </c>
      <c r="C28">
        <f>2*$E$2*($E$1-B28)</f>
        <v>1.63748000000000005</v>
      </c>
      <c r="D28">
        <f>D27*(2-E$3^2*C28)-D26</f>
        <v>0.0795537886719890075</v>
      </c>
      <c r="G28">
        <f>G27+K$3</f>
        <v>-0.634408602150534939</v>
      </c>
      <c r="H28">
        <f>H$1*((1+G28)/(1-G28))^(1/H$2)</f>
        <v>2.23684210526316996</v>
      </c>
      <c r="I28">
        <f>2*H$1*(1+G28)^(-1+1/H$2)/(H$2*(1-G28)^(1+1/H$2))</f>
        <v>7.48701523545704806</v>
      </c>
      <c r="J28">
        <f>(1-1/H$2^2)/(1-G28^2)^2</f>
        <v>0</v>
      </c>
      <c r="K28">
        <f>(H28-3)^2</f>
        <v>0.582409972299150613</v>
      </c>
      <c r="L28">
        <f>2*$E$2*($E$1-K28)</f>
        <v>-0.332159889196603997</v>
      </c>
      <c r="M28">
        <f>L28*I28^2+J28</f>
        <v>-18.6193545015540991</v>
      </c>
      <c r="N28">
        <f>N27*(2-K$3^2*M28)-N26</f>
        <v>0.0585050329766730037</v>
      </c>
      <c r="R28">
        <f>H28</f>
        <v>2.23684210526316996</v>
      </c>
      <c r="S28">
        <f>N28</f>
        <v>0.0585050329766730037</v>
      </c>
    </row>
    <row r="29" spans="1:19">
      <c r="A29">
        <f>A28+E$3</f>
        <v>2.80000000000000036</v>
      </c>
      <c r="B29">
        <f>(A29-3)^2</f>
        <v>0.0400000000000000089</v>
      </c>
      <c r="C29">
        <f>2*$E$2*($E$1-B29)</f>
        <v>1.83748000000000005</v>
      </c>
      <c r="D29">
        <f>D28*(2-E$3^2*C29)-D27</f>
        <v>0.0819859407235180093</v>
      </c>
      <c r="G29">
        <f>G28+K$3</f>
        <v>-0.622119815668200005</v>
      </c>
      <c r="H29">
        <f>H$1*((1+G29)/(1-G29))^(1/H$2)</f>
        <v>2.3295454545454799</v>
      </c>
      <c r="I29">
        <f>2*H$1*(1+G29)^(-1+1/H$2)/(H$2*(1-G29)^(1+1/H$2))</f>
        <v>7.60088455578513589</v>
      </c>
      <c r="J29">
        <f>(1-1/H$2^2)/(1-G29^2)^2</f>
        <v>0</v>
      </c>
      <c r="K29">
        <f>(H29-3)^2</f>
        <v>0.449509297520627005</v>
      </c>
      <c r="L29">
        <f>2*$E$2*($E$1-K29)</f>
        <v>0.199442809917491992</v>
      </c>
      <c r="M29">
        <f>L29*I29^2+J29</f>
        <v>11.5224984149141996</v>
      </c>
      <c r="N29">
        <f>N28*(2-K$3^2*M29)-N27</f>
        <v>0.0653146995800930075</v>
      </c>
      <c r="R29">
        <f>H29</f>
        <v>2.3295454545454799</v>
      </c>
      <c r="S29">
        <f>N29</f>
        <v>0.0653146995800930075</v>
      </c>
    </row>
    <row r="30" spans="1:19">
      <c r="A30">
        <f>A29+E$3</f>
        <v>2.9</v>
      </c>
      <c r="B30">
        <f>(A30-3)^2</f>
        <v>0.01000000000000000222</v>
      </c>
      <c r="C30">
        <f>2*$E$2*($E$1-B30)</f>
        <v>1.95748000000000015</v>
      </c>
      <c r="D30">
        <f>D29*(2-E$3^2*C30)-D28</f>
        <v>0.0828132343825719808</v>
      </c>
      <c r="G30">
        <f>G29+K$3</f>
        <v>-0.609831029185864981</v>
      </c>
      <c r="H30">
        <f>H$1*((1+G30)/(1-G30))^(1/H$2)</f>
        <v>2.42366412213741977</v>
      </c>
      <c r="I30">
        <f>2*H$1*(1+G30)^(-1+1/H$2)/(H$2*(1-G30)^(1+1/H$2))</f>
        <v>7.71737151098418028</v>
      </c>
      <c r="J30">
        <f>(1-1/H$2^2)/(1-G30^2)^2</f>
        <v>0</v>
      </c>
      <c r="K30">
        <f>(H30-3)^2</f>
        <v>0.332163044111630734</v>
      </c>
      <c r="L30">
        <f>2*$E$2*($E$1-K30)</f>
        <v>0.668827823553476009</v>
      </c>
      <c r="M30">
        <f>L30*I30^2+J30</f>
        <v>39.8339291584566979</v>
      </c>
      <c r="N30">
        <f>N29*(2-K$3^2*M30)-N28</f>
        <v>0.0717314661397930031</v>
      </c>
      <c r="R30">
        <f>H30</f>
        <v>2.42366412213741977</v>
      </c>
      <c r="S30">
        <f>N30</f>
        <v>0.0717314661397930031</v>
      </c>
    </row>
    <row r="31" spans="1:19">
      <c r="A31">
        <f>A30+E$3</f>
        <v>3</v>
      </c>
      <c r="B31">
        <f>(A31-3)^2</f>
        <v>0</v>
      </c>
      <c r="C31">
        <f>2*$E$2*($E$1-B31)</f>
        <v>1.99747999999999983</v>
      </c>
      <c r="D31">
        <f>D30*(2-E$3^2*C31)-D29</f>
        <v>0.0819863502474809991</v>
      </c>
      <c r="G31">
        <f>G30+K$3</f>
        <v>-0.597542242703529958</v>
      </c>
      <c r="H31">
        <f>H$1*((1+G31)/(1-G31))^(1/H$2)</f>
        <v>2.51923076923079048</v>
      </c>
      <c r="I31">
        <f>2*H$1*(1+G31)^(-1+1/H$2)/(H$2*(1-G31)^(1+1/H$2))</f>
        <v>7.83655695266276542</v>
      </c>
      <c r="J31">
        <f>(1-1/H$2^2)/(1-G31^2)^2</f>
        <v>0</v>
      </c>
      <c r="K31">
        <f>(H31-3)^2</f>
        <v>0.231139053254417925</v>
      </c>
      <c r="L31">
        <f>2*$E$2*($E$1-K31)</f>
        <v>1.07292378698232804</v>
      </c>
      <c r="M31">
        <f>L31*I31^2+J31</f>
        <v>65.8899931227555982</v>
      </c>
      <c r="N31">
        <f>N30*(2-K$3^2*M31)-N29</f>
        <v>0.0774344809813989876</v>
      </c>
      <c r="R31">
        <f>H31</f>
        <v>2.51923076923079048</v>
      </c>
      <c r="S31">
        <f>N31</f>
        <v>0.0774344809813989876</v>
      </c>
    </row>
    <row r="32" spans="1:19">
      <c r="A32">
        <f>A31+E$3</f>
        <v>3.10000000000000009</v>
      </c>
      <c r="B32">
        <f>(A32-3)^2</f>
        <v>0.01000000000000000222</v>
      </c>
      <c r="C32">
        <f>2*$E$2*($E$1-B32)</f>
        <v>1.95748000000000015</v>
      </c>
      <c r="D32">
        <f>D31*(2-E$3^2*C32)-D30</f>
        <v>0.079554599703565998</v>
      </c>
      <c r="G32">
        <f>G31+K$3</f>
        <v>-0.585253456221194934</v>
      </c>
      <c r="H32">
        <f>H$1*((1+G32)/(1-G32))^(1/H$2)</f>
        <v>2.61627906976745983</v>
      </c>
      <c r="I32">
        <f>2*H$1*(1+G32)^(-1+1/H$2)/(H$2*(1-G32)^(1+1/H$2))</f>
        <v>7.95852487831258237</v>
      </c>
      <c r="J32">
        <f>(1-1/H$2^2)/(1-G32^2)^2</f>
        <v>0</v>
      </c>
      <c r="K32">
        <f>(H32-3)^2</f>
        <v>0.14724175229852583</v>
      </c>
      <c r="L32">
        <f>2*$E$2*($E$1-K32)</f>
        <v>1.40851299080589598</v>
      </c>
      <c r="M32">
        <f>L32*I32^2+J32</f>
        <v>89.2125623524377005</v>
      </c>
      <c r="N32">
        <f>N31*(2-K$3^2*M32)-N30</f>
        <v>0.0820942698239699986</v>
      </c>
      <c r="R32">
        <f>H32</f>
        <v>2.61627906976745983</v>
      </c>
      <c r="S32">
        <f>N32</f>
        <v>0.0820942698239699986</v>
      </c>
    </row>
    <row r="33" spans="1:19">
      <c r="A33">
        <f>A32+E$3</f>
        <v>3.20000000000000018</v>
      </c>
      <c r="B33">
        <f>(A33-3)^2</f>
        <v>0.0400000000000000089</v>
      </c>
      <c r="C33">
        <f>2*$E$2*($E$1-B33)</f>
        <v>1.83748000000000005</v>
      </c>
      <c r="D33">
        <f>D32*(2-E$3^2*C33)-D31</f>
        <v>0.0756610493010180019</v>
      </c>
      <c r="G33">
        <f>G32+K$3</f>
        <v>-0.572964669738859911</v>
      </c>
      <c r="H33">
        <f>H$1*((1+G33)/(1-G33))^(1/H$2)</f>
        <v>2.7148437500000302</v>
      </c>
      <c r="I33">
        <f>2*H$1*(1+G33)^(-1+1/H$2)/(H$2*(1-G33)^(1+1/H$2))</f>
        <v>8.08336257934574043</v>
      </c>
      <c r="J33">
        <f>(1-1/H$2^2)/(1-G33^2)^2</f>
        <v>0</v>
      </c>
      <c r="K33">
        <f>(H33-3)^2</f>
        <v>0.0813140869140454114</v>
      </c>
      <c r="L33">
        <f>2*$E$2*($E$1-K33)</f>
        <v>1.67222365234382009</v>
      </c>
      <c r="M33">
        <f>L33*I33^2+J33</f>
        <v>109.264348597102995</v>
      </c>
      <c r="N33">
        <f>N32*(2-K$3^2*M33)-N31</f>
        <v>0.0853994641218979922</v>
      </c>
      <c r="R33">
        <f>H33</f>
        <v>2.7148437500000302</v>
      </c>
      <c r="S33">
        <f>N33</f>
        <v>0.0853994641218979922</v>
      </c>
    </row>
    <row r="34" spans="1:19">
      <c r="A34">
        <f>A33+E$3</f>
        <v>3.30000000000000027</v>
      </c>
      <c r="B34">
        <f>(A34-3)^2</f>
        <v>0.09</v>
      </c>
      <c r="C34">
        <f>2*$E$2*($E$1-B34)</f>
        <v>1.63748000000000005</v>
      </c>
      <c r="D34">
        <f>D33*(2-E$3^2*C34)-D32</f>
        <v>0.0705285643483759994</v>
      </c>
      <c r="G34">
        <f>G33+K$3</f>
        <v>-0.560675883256524976</v>
      </c>
      <c r="H34">
        <f>H$1*((1+G34)/(1-G34))^(1/H$2)</f>
        <v>2.81496062992127971</v>
      </c>
      <c r="I34">
        <f>2*H$1*(1+G34)^(-1+1/H$2)/(H$2*(1-G34)^(1+1/H$2))</f>
        <v>8.211160797321579</v>
      </c>
      <c r="J34">
        <f>(1-1/H$2^2)/(1-G34^2)^2</f>
        <v>0</v>
      </c>
      <c r="K34">
        <f>(H34-3)^2</f>
        <v>0.0342395684791295052</v>
      </c>
      <c r="L34">
        <f>2*$E$2*($E$1-K34)</f>
        <v>1.86052172608348005</v>
      </c>
      <c r="M34">
        <f>L34*I34^2+J34</f>
        <v>125.442257071474003</v>
      </c>
      <c r="N34">
        <f>N33*(2-K$3^2*M34)-N32</f>
        <v>0.0870868875838549883</v>
      </c>
      <c r="R34">
        <f>H34</f>
        <v>2.81496062992127971</v>
      </c>
      <c r="S34">
        <f>N34</f>
        <v>0.0870868875838549883</v>
      </c>
    </row>
    <row r="35" spans="1:19">
      <c r="A35">
        <f>A34+E$3</f>
        <v>3.39999999999999991</v>
      </c>
      <c r="B35">
        <f>(A35-3)^2</f>
        <v>0.160000000000000036</v>
      </c>
      <c r="C35">
        <f>2*$E$2*($E$1-B35)</f>
        <v>1.35748000000000002</v>
      </c>
      <c r="D35">
        <f>D34*(2-E$3^2*C35)-D33</f>
        <v>0.064438668240418</v>
      </c>
      <c r="G35">
        <f>G34+K$3</f>
        <v>-0.548387096774189953</v>
      </c>
      <c r="H35">
        <f>H$1*((1+G35)/(1-G35))^(1/H$2)</f>
        <v>2.91666666666670018</v>
      </c>
      <c r="I35">
        <f>2*H$1*(1+G35)^(-1+1/H$2)/(H$2*(1-G35)^(1+1/H$2))</f>
        <v>8.34201388888890882</v>
      </c>
      <c r="J35">
        <f>(1-1/H$2^2)/(1-G35^2)^2</f>
        <v>0</v>
      </c>
      <c r="K35">
        <f>(H35-3)^2</f>
        <v>0.0069444444444388882</v>
      </c>
      <c r="L35">
        <f>2*$E$2*($E$1-K35)</f>
        <v>1.969702222222244</v>
      </c>
      <c r="M35">
        <f>L35*I35^2+J35</f>
        <v>137.069993457099997</v>
      </c>
      <c r="N35">
        <f>N34*(2-K$3^2*M35)-N33</f>
        <v>0.0869716538007319961</v>
      </c>
      <c r="R35">
        <f>H35</f>
        <v>2.91666666666670018</v>
      </c>
      <c r="S35">
        <f>N35</f>
        <v>0.0869716538007319961</v>
      </c>
    </row>
    <row r="36" spans="1:19">
      <c r="A36">
        <f>A35+E$3</f>
        <v>3.5</v>
      </c>
      <c r="B36">
        <f>(A36-3)^2</f>
        <v>0.25</v>
      </c>
      <c r="C36">
        <f>2*$E$2*($E$1-B36)</f>
        <v>0.997480000000000011</v>
      </c>
      <c r="D36">
        <f>D35*(2-E$3^2*C36)-D34</f>
        <v>0.0577060093044949962</v>
      </c>
      <c r="G36">
        <f>G35+K$3</f>
        <v>-0.536098310291854929</v>
      </c>
      <c r="H36">
        <f>H$1*((1+G36)/(1-G36))^(1/H$2)</f>
        <v>3.02000000000002</v>
      </c>
      <c r="I36">
        <f>2*H$1*(1+G36)^(-1+1/H$2)/(H$2*(1-G36)^(1+1/H$2))</f>
        <v>8.47601999999997524</v>
      </c>
      <c r="J36">
        <f>(1-1/H$2^2)/(1-G36^2)^2</f>
        <v>0</v>
      </c>
      <c r="K36">
        <f>(H36-3)^2</f>
        <v>0.000400000000000799982</v>
      </c>
      <c r="L36">
        <f>2*$E$2*($E$1-K36)</f>
        <v>1.9958799999999961</v>
      </c>
      <c r="M36">
        <f>L36*I36^2+J36</f>
        <v>143.389837270832999</v>
      </c>
      <c r="N36">
        <f>N35*(2-K$3^2*M36)-N34</f>
        <v>0.0849731434744199987</v>
      </c>
      <c r="R36">
        <f>H36</f>
        <v>3.02000000000002</v>
      </c>
      <c r="S36">
        <f>N36</f>
        <v>0.0849731434744199987</v>
      </c>
    </row>
    <row r="37" spans="1:19">
      <c r="A37">
        <f>A36+E$3</f>
        <v>3.60000000000000009</v>
      </c>
      <c r="B37">
        <f>(A37-3)^2</f>
        <v>0.359999999999999964</v>
      </c>
      <c r="C37">
        <f>2*$E$2*($E$1-B37)</f>
        <v>0.557479999999999976</v>
      </c>
      <c r="D37">
        <f>D36*(2-E$3^2*C37)-D35</f>
        <v>0.0506516509079010113</v>
      </c>
      <c r="G37">
        <f>G36+K$3</f>
        <v>-0.523809523809519995</v>
      </c>
      <c r="H37">
        <f>H$1*((1+G37)/(1-G37))^(1/H$2)</f>
        <v>3.1250000000000302</v>
      </c>
      <c r="I37">
        <f>2*H$1*(1+G37)^(-1+1/H$2)/(H$2*(1-G37)^(1+1/H$2))</f>
        <v>8.61328125000002842</v>
      </c>
      <c r="J37">
        <f>(1-1/H$2^2)/(1-G37^2)^2</f>
        <v>0</v>
      </c>
      <c r="K37">
        <f>(H37-3)^2</f>
        <v>0.0156250000000075007</v>
      </c>
      <c r="L37">
        <f>2*$E$2*($E$1-K37)</f>
        <v>1.93497999999996786</v>
      </c>
      <c r="M37">
        <f>L37*I37^2+J37</f>
        <v>143.553484107970007</v>
      </c>
      <c r="N37">
        <f>N36*(2-K$3^2*M37)-N35</f>
        <v>0.0811325322297879836</v>
      </c>
      <c r="R37">
        <f>H37</f>
        <v>3.1250000000000302</v>
      </c>
      <c r="S37">
        <f>N37</f>
        <v>0.0811325322297879836</v>
      </c>
    </row>
    <row r="38" spans="1:19">
      <c r="A38">
        <f>A37+E$3</f>
        <v>3.70000000000000018</v>
      </c>
      <c r="B38">
        <f>(A38-3)^2</f>
        <v>0.489999999999999947</v>
      </c>
      <c r="C38">
        <f>2*$E$2*($E$1-B38)</f>
        <v>0.0374800000000000022</v>
      </c>
      <c r="D38">
        <f>D37*(2-E$3^2*C38)-D36</f>
        <v>0.0435783082725469928</v>
      </c>
      <c r="G38">
        <f>G37+K$3</f>
        <v>-0.511520737327184971</v>
      </c>
      <c r="H38">
        <f>H$1*((1+G38)/(1-G38))^(1/H$2)</f>
        <v>3.23170731707320025</v>
      </c>
      <c r="I38">
        <f>2*H$1*(1+G38)^(-1+1/H$2)/(H$2*(1-G38)^(1+1/H$2))</f>
        <v>8.75390392623437918</v>
      </c>
      <c r="J38">
        <f>(1-1/H$2^2)/(1-G38^2)^2</f>
        <v>0</v>
      </c>
      <c r="K38">
        <f>(H38-3)^2</f>
        <v>0.0536882807852604316</v>
      </c>
      <c r="L38">
        <f>2*$E$2*($E$1-K38)</f>
        <v>1.78272687685895992</v>
      </c>
      <c r="M38">
        <f>L38*I38^2+J38</f>
        <v>136.611847278320994</v>
      </c>
      <c r="N38">
        <f>N37*(2-K$3^2*M38)-N36</f>
        <v>0.075618129355254009</v>
      </c>
      <c r="R38">
        <f>H38</f>
        <v>3.23170731707320025</v>
      </c>
      <c r="S38">
        <f>N38</f>
        <v>0.075618129355254009</v>
      </c>
    </row>
    <row r="39" spans="1:19">
      <c r="A39">
        <f>A38+E$3</f>
        <v>3.80000000000000036</v>
      </c>
      <c r="B39">
        <f>(A39-3)^2</f>
        <v>0.640000000000000124</v>
      </c>
      <c r="C39">
        <f>2*$E$2*($E$1-B39)</f>
        <v>-0.562520000000000042</v>
      </c>
      <c r="D39">
        <f>D38*(2-E$3^2*C39)-D37</f>
        <v>0.0367501023368879975</v>
      </c>
      <c r="G39">
        <f>G38+K$3</f>
        <v>-0.499231950844849948</v>
      </c>
      <c r="H39">
        <f>H$1*((1+G39)/(1-G39))^(1/H$2)</f>
        <v>3.34016393442627013</v>
      </c>
      <c r="I39">
        <f>2*H$1*(1+G39)^(-1+1/H$2)/(H$2*(1-G39)^(1+1/H$2))</f>
        <v>8.89799868986834319</v>
      </c>
      <c r="J39">
        <f>(1-1/H$2^2)/(1-G39^2)^2</f>
        <v>0</v>
      </c>
      <c r="K39">
        <f>(H39-3)^2</f>
        <v>0.115711502284359735</v>
      </c>
      <c r="L39">
        <f>2*$E$2*($E$1-K39)</f>
        <v>1.53463399086255992</v>
      </c>
      <c r="M39">
        <f>L39*I39^2+J39</f>
        <v>121.503695804537998</v>
      </c>
      <c r="N39">
        <f>N38*(2-K$3^2*M39)-N37</f>
        <v>0.0687162251300069915</v>
      </c>
      <c r="R39">
        <f>H39</f>
        <v>3.34016393442627013</v>
      </c>
      <c r="S39">
        <f>N39</f>
        <v>0.0687162251300069915</v>
      </c>
    </row>
    <row r="40" spans="1:19">
      <c r="A40">
        <f>A39+E$3</f>
        <v>3.9</v>
      </c>
      <c r="B40">
        <f>(A40-3)^2</f>
        <v>0.810000000000000142</v>
      </c>
      <c r="C40">
        <f>2*$E$2*($E$1-B40)</f>
        <v>-1.24252000000000007</v>
      </c>
      <c r="D40">
        <f>D39*(2-E$3^2*C40)-D38</f>
        <v>0.0303785237727849999</v>
      </c>
      <c r="G40">
        <f>G39+K$3</f>
        <v>-0.486943164362515013</v>
      </c>
      <c r="H40">
        <f>H$1*((1+G40)/(1-G40))^(1/H$2)</f>
        <v>3.45041322314052001</v>
      </c>
      <c r="I40">
        <f>2*H$1*(1+G40)^(-1+1/H$2)/(H$2*(1-G40)^(1+1/H$2))</f>
        <v>9.04568079366164213</v>
      </c>
      <c r="J40">
        <f>(1-1/H$2^2)/(1-G40^2)^2</f>
        <v>0</v>
      </c>
      <c r="K40">
        <f>(H40-3)^2</f>
        <v>0.20287207157983187</v>
      </c>
      <c r="L40">
        <f>2*$E$2*($E$1-K40)</f>
        <v>1.18599171368067191</v>
      </c>
      <c r="M40">
        <f>L40*I40^2+J40</f>
        <v>97.0429904280727982</v>
      </c>
      <c r="N40">
        <f>N39*(2-K$3^2*M40)-N38</f>
        <v>0.0608072931002910089</v>
      </c>
      <c r="R40">
        <f>H40</f>
        <v>3.45041322314052001</v>
      </c>
      <c r="S40">
        <f>N40</f>
        <v>0.0608072931002910089</v>
      </c>
    </row>
    <row r="41" spans="1:19">
      <c r="A41">
        <f>A40+E$3</f>
        <v>4</v>
      </c>
      <c r="B41">
        <f>(A41-3)^2</f>
        <v>1</v>
      </c>
      <c r="C41">
        <f>2*$E$2*($E$1-B41)</f>
        <v>-2.00252000000000008</v>
      </c>
      <c r="D41">
        <f>D40*(2-E$3^2*C41)-D39</f>
        <v>0.0246152812229369955</v>
      </c>
      <c r="G41">
        <f>G40+K$3</f>
        <v>-0.47465437788017999</v>
      </c>
      <c r="H41">
        <f>H$1*((1+G41)/(1-G41))^(1/H$2)</f>
        <v>3.56250000000003997</v>
      </c>
      <c r="I41">
        <f>2*H$1*(1+G41)^(-1+1/H$2)/(H$2*(1-G41)^(1+1/H$2))</f>
        <v>9.19707031250005791</v>
      </c>
      <c r="J41">
        <f>(1-1/H$2^2)/(1-G41^2)^2</f>
        <v>0</v>
      </c>
      <c r="K41">
        <f>(H41-3)^2</f>
        <v>0.316406250000044942</v>
      </c>
      <c r="L41">
        <f>2*$E$2*($E$1-K41)</f>
        <v>0.731854999999819977</v>
      </c>
      <c r="M41">
        <f>L41*I41^2+J41</f>
        <v>61.9047619229537034</v>
      </c>
      <c r="N41">
        <f>N40*(2-K$3^2*M41)-N39</f>
        <v>0.0523299039311090119</v>
      </c>
      <c r="R41">
        <f>H41</f>
        <v>3.56250000000003997</v>
      </c>
      <c r="S41">
        <f>N41</f>
        <v>0.0523299039311090119</v>
      </c>
    </row>
    <row r="42" spans="1:19">
      <c r="A42">
        <f>A41+E$3</f>
        <v>4.09999999999999964</v>
      </c>
      <c r="B42">
        <f>(A42-3)^2</f>
        <v>1.21000000000000019</v>
      </c>
      <c r="C42">
        <f>2*$E$2*($E$1-B42)</f>
        <v>-2.84252000000000002</v>
      </c>
      <c r="D42">
        <f>D41*(2-E$3^2*C42)-D40</f>
        <v>0.0195517329649069982</v>
      </c>
      <c r="G42">
        <f>G41+K$3</f>
        <v>-0.462365591397844966</v>
      </c>
      <c r="H42">
        <f>H$1*((1+G42)/(1-G42))^(1/H$2)</f>
        <v>3.67647058823532014</v>
      </c>
      <c r="I42">
        <f>2*H$1*(1+G42)^(-1+1/H$2)/(H$2*(1-G42)^(1+1/H$2))</f>
        <v>9.35229238754326175</v>
      </c>
      <c r="J42">
        <f>(1-1/H$2^2)/(1-G42^2)^2</f>
        <v>0</v>
      </c>
      <c r="K42">
        <f>(H42-3)^2</f>
        <v>0.457612456747439911</v>
      </c>
      <c r="L42">
        <f>2*$E$2*($E$1-K42)</f>
        <v>0.167030173010240013</v>
      </c>
      <c r="M42">
        <f>L42*I42^2+J42</f>
        <v>14.6093563682428993</v>
      </c>
      <c r="N42">
        <f>N41*(2-K$3^2*M42)-N40</f>
        <v>0.0437370634114689949</v>
      </c>
      <c r="R42">
        <f>H42</f>
        <v>3.67647058823532014</v>
      </c>
      <c r="S42">
        <f>N42</f>
        <v>0.0437370634114689949</v>
      </c>
    </row>
    <row r="43" spans="1:19">
      <c r="A43">
        <f>A42+E$3</f>
        <v>4.19999999999999929</v>
      </c>
      <c r="B43">
        <f>(A43-3)^2</f>
        <v>1.43999999999999995</v>
      </c>
      <c r="C43">
        <f>2*$E$2*($E$1-B43)</f>
        <v>-3.76251999999999986</v>
      </c>
      <c r="D43">
        <f>D42*(2-E$3^2*C43)-D41</f>
        <v>0.0152238225700279983</v>
      </c>
      <c r="G43">
        <f>G42+K$3</f>
        <v>-0.450076804915510031</v>
      </c>
      <c r="H43">
        <f>H$1*((1+G43)/(1-G43))^(1/H$2)</f>
        <v>3.79237288135597961</v>
      </c>
      <c r="I43">
        <f>2*H$1*(1+G43)^(-1+1/H$2)/(H$2*(1-G43)^(1+1/H$2))</f>
        <v>9.51147748491820444</v>
      </c>
      <c r="J43">
        <f>(1-1/H$2^2)/(1-G43^2)^2</f>
        <v>0</v>
      </c>
      <c r="K43">
        <f>(H43-3)^2</f>
        <v>0.627854783108378101</v>
      </c>
      <c r="L43">
        <f>2*$E$2*($E$1-K43)</f>
        <v>-0.513939132433511947</v>
      </c>
      <c r="M43">
        <f>L43*I43^2+J43</f>
        <v>-46.4951502488798027</v>
      </c>
      <c r="N43">
        <f>N42*(2-K$3^2*M43)-N41</f>
        <v>0.035451319678822002</v>
      </c>
      <c r="R43">
        <f>H43</f>
        <v>3.79237288135597961</v>
      </c>
      <c r="S43">
        <f>N43</f>
        <v>0.035451319678822002</v>
      </c>
    </row>
    <row r="44" spans="1:19">
      <c r="A44">
        <f>A43+E$3</f>
        <v>4.29999999999999982</v>
      </c>
      <c r="B44">
        <f>(A44-3)^2</f>
        <v>1.69000000000000021</v>
      </c>
      <c r="C44">
        <f>2*$E$2*($E$1-B44)</f>
        <v>-4.76252000000000031</v>
      </c>
      <c r="D44">
        <f>D43*(2-E$3^2*C44)-D42</f>
        <v>0.0116209497698109976</v>
      </c>
      <c r="G44">
        <f>G43+K$3</f>
        <v>-0.437788018433175008</v>
      </c>
      <c r="H44">
        <f>H$1*((1+G44)/(1-G44))^(1/H$2)</f>
        <v>3.91025641025644042</v>
      </c>
      <c r="I44">
        <f>2*H$1*(1+G44)^(-1+1/H$2)/(H$2*(1-G44)^(1+1/H$2))</f>
        <v>9.67476166995397513</v>
      </c>
      <c r="J44">
        <f>(1-1/H$2^2)/(1-G44^2)^2</f>
        <v>0</v>
      </c>
      <c r="K44">
        <f>(H44-3)^2</f>
        <v>0.828566732412940432</v>
      </c>
      <c r="L44">
        <f>2*$E$2*($E$1-K44)</f>
        <v>-1.31678692965176403</v>
      </c>
      <c r="M44">
        <f>L44*I44^2+J44</f>
        <v>-123.252591008316003</v>
      </c>
      <c r="N44">
        <f>N43*(2-K$3^2*M44)-N42</f>
        <v>0.0278254278302529956</v>
      </c>
      <c r="R44">
        <f>H44</f>
        <v>3.91025641025644042</v>
      </c>
      <c r="S44">
        <f>N44</f>
        <v>0.0278254278302529956</v>
      </c>
    </row>
    <row r="45" spans="1:19">
      <c r="A45">
        <f>A44+E$3</f>
        <v>4.39999999999999947</v>
      </c>
      <c r="B45">
        <f>(A45-3)^2</f>
        <v>1.95999999999999979</v>
      </c>
      <c r="C45">
        <f>2*$E$2*($E$1-B45)</f>
        <v>-5.84252000000000038</v>
      </c>
      <c r="D45">
        <f>D44*(2-E$3^2*C45)-D43</f>
        <v>0.0086970332840850002</v>
      </c>
      <c r="G45">
        <f>G44+K$3</f>
        <v>-0.425499231950839985</v>
      </c>
      <c r="H45">
        <f>H$1*((1+G45)/(1-G45))^(1/H$2)</f>
        <v>4.03017241379315028</v>
      </c>
      <c r="I45">
        <f>2*H$1*(1+G45)^(-1+1/H$2)/(H$2*(1-G45)^(1+1/H$2))</f>
        <v>9.84228689803809154</v>
      </c>
      <c r="J45">
        <f>(1-1/H$2^2)/(1-G45^2)^2</f>
        <v>0</v>
      </c>
      <c r="K45">
        <f>(H45-3)^2</f>
        <v>1.06125520214040514</v>
      </c>
      <c r="L45">
        <f>2*$E$2*($E$1-K45)</f>
        <v>-2.24754080856164018</v>
      </c>
      <c r="M45">
        <f>L45*I45^2+J45</f>
        <v>-217.720652234265003</v>
      </c>
      <c r="N45">
        <f>N44*(2-K$3^2*M45)-N43</f>
        <v>0.0211144061658899984</v>
      </c>
      <c r="R45">
        <f>H45</f>
        <v>4.03017241379315028</v>
      </c>
      <c r="S45">
        <f>N45</f>
        <v>0.0211144061658899984</v>
      </c>
    </row>
    <row r="46" spans="1:19">
      <c r="A46">
        <f>A45+E$3</f>
        <v>4.5</v>
      </c>
      <c r="B46">
        <f>(A46-3)^2</f>
        <v>2.25</v>
      </c>
      <c r="C46">
        <f>2*$E$2*($E$1-B46)</f>
        <v>-7.00251999999999963</v>
      </c>
      <c r="D46">
        <f>D45*(2-E$3^2*C46)-D44</f>
        <v>0.00638212829348400046</v>
      </c>
      <c r="G46">
        <f>G45+K$3</f>
        <v>-0.413210445468504961</v>
      </c>
      <c r="H46">
        <f>H$1*((1+G46)/(1-G46))^(1/H$2)</f>
        <v>4.15217391304350958</v>
      </c>
      <c r="I46">
        <f>2*H$1*(1+G46)^(-1+1/H$2)/(H$2*(1-G46)^(1+1/H$2))</f>
        <v>10.0142013232514397</v>
      </c>
      <c r="J46">
        <f>(1-1/H$2^2)/(1-G46^2)^2</f>
        <v>0</v>
      </c>
      <c r="K46">
        <f>(H46-3)^2</f>
        <v>1.32750472589799373</v>
      </c>
      <c r="L46">
        <f>2*$E$2*($E$1-K46)</f>
        <v>-3.3125389035919599</v>
      </c>
      <c r="M46">
        <f>L46*I46^2+J46</f>
        <v>-332.195407139087024</v>
      </c>
      <c r="N46">
        <f>N45*(2-K$3^2*M46)-N44</f>
        <v>0.0154626150370300008</v>
      </c>
      <c r="R46">
        <f>H46</f>
        <v>4.15217391304350958</v>
      </c>
      <c r="S46">
        <f>N46</f>
        <v>0.0154626150370300008</v>
      </c>
    </row>
    <row r="47" spans="1:19">
      <c r="A47">
        <f>A46+E$3</f>
        <v>4.59999999999999964</v>
      </c>
      <c r="B47">
        <f>(A47-3)^2</f>
        <v>2.5600000000000005</v>
      </c>
      <c r="C47">
        <f>2*$E$2*($E$1-B47)</f>
        <v>-8.24252000000000073</v>
      </c>
      <c r="D47">
        <f>D46*(2-E$3^2*C47)-D45</f>
        <v>0.00459327150389900041</v>
      </c>
      <c r="G47">
        <f>G46+K$3</f>
        <v>-0.400921658986170026</v>
      </c>
      <c r="H47">
        <f>H$1*((1+G47)/(1-G47))^(1/H$2)</f>
        <v>4.27631578947374003</v>
      </c>
      <c r="I47">
        <f>2*H$1*(1+G47)^(-1+1/H$2)/(H$2*(1-G47)^(1+1/H$2))</f>
        <v>10.1906596260388689</v>
      </c>
      <c r="J47">
        <f>(1-1/H$2^2)/(1-G47^2)^2</f>
        <v>0</v>
      </c>
      <c r="K47">
        <f>(H47-3)^2</f>
        <v>1.62898199445997633</v>
      </c>
      <c r="L47">
        <f>2*$E$2*($E$1-K47)</f>
        <v>-4.51844797783992025</v>
      </c>
      <c r="M47">
        <f>L47*I47^2+J47</f>
        <v>-469.238760341278009</v>
      </c>
      <c r="N47">
        <f>N46*(2-K$3^2*M47)-N45</f>
        <v>0.0109065318747430041</v>
      </c>
      <c r="R47">
        <f>H47</f>
        <v>4.27631578947374003</v>
      </c>
      <c r="S47">
        <f>N47</f>
        <v>0.0109065318747430041</v>
      </c>
    </row>
    <row r="48" spans="1:19">
      <c r="A48">
        <f>A47+E$3</f>
        <v>4.69999999999999929</v>
      </c>
      <c r="B48">
        <f>(A48-3)^2</f>
        <v>2.88999999999999968</v>
      </c>
      <c r="C48">
        <f>2*$E$2*($E$1-B48)</f>
        <v>-9.56251999999999924</v>
      </c>
      <c r="D48">
        <f>D47*(2-E$3^2*C48)-D46</f>
        <v>0.00324364722052900012</v>
      </c>
      <c r="G48">
        <f>G47+K$3</f>
        <v>-0.388632872503835003</v>
      </c>
      <c r="H48">
        <f>H$1*((1+G48)/(1-G48))^(1/H$2)</f>
        <v>4.40265486725667987</v>
      </c>
      <c r="I48">
        <f>2*H$1*(1+G48)^(-1+1/H$2)/(H$2*(1-G48)^(1+1/H$2))</f>
        <v>10.3718233612655464</v>
      </c>
      <c r="J48">
        <f>(1-1/H$2^2)/(1-G48^2)^2</f>
        <v>0</v>
      </c>
      <c r="K48">
        <f>(H48-3)^2</f>
        <v>1.96744067663885485</v>
      </c>
      <c r="L48">
        <f>2*$E$2*($E$1-K48)</f>
        <v>-5.87228270655544016</v>
      </c>
      <c r="M48">
        <f>L48*I48^2+J48</f>
        <v>-631.709166963081998</v>
      </c>
      <c r="N48">
        <f>N47*(2-K$3^2*M48)-N46</f>
        <v>0.00739090023230100091</v>
      </c>
      <c r="R48">
        <f>H48</f>
        <v>4.40265486725667987</v>
      </c>
      <c r="S48">
        <f>N48</f>
        <v>0.00739090023230100091</v>
      </c>
    </row>
    <row r="49" spans="1:19">
      <c r="A49">
        <f>A48+E$3</f>
        <v>4.79999999999999982</v>
      </c>
      <c r="B49">
        <f>(A49-3)^2</f>
        <v>3.24000000000000021</v>
      </c>
      <c r="C49">
        <f>2*$E$2*($E$1-B49)</f>
        <v>-10.9625199999999996</v>
      </c>
      <c r="D49">
        <f>D48*(2-E$3^2*C49)-D47</f>
        <v>0.00224960841243899967</v>
      </c>
      <c r="G49">
        <f>G48+K$3</f>
        <v>-0.376344086021499979</v>
      </c>
      <c r="H49">
        <f>H$1*((1+G49)/(1-G49))^(1/H$2)</f>
        <v>4.5312500000000604</v>
      </c>
      <c r="I49">
        <f>2*H$1*(1+G49)^(-1+1/H$2)/(H$2*(1-G49)^(1+1/H$2))</f>
        <v>10.5578613281250728</v>
      </c>
      <c r="J49">
        <f>(1-1/H$2^2)/(1-G49^2)^2</f>
        <v>0</v>
      </c>
      <c r="K49">
        <f>(H49-3)^2</f>
        <v>2.34472656250018341</v>
      </c>
      <c r="L49">
        <f>2*$E$2*($E$1-K49)</f>
        <v>-7.38142625000071995</v>
      </c>
      <c r="M49">
        <f>L49*I49^2+J49</f>
        <v>-822.796038237204016</v>
      </c>
      <c r="N49">
        <f>N48*(2-K$3^2*M49)-N47</f>
        <v>0.00479361710609199942</v>
      </c>
      <c r="R49">
        <f>H49</f>
        <v>4.5312500000000604</v>
      </c>
      <c r="S49">
        <f>N49</f>
        <v>0.00479361710609199942</v>
      </c>
    </row>
    <row r="50" spans="1:19">
      <c r="A50">
        <f>A49+E$3</f>
        <v>4.89999999999999947</v>
      </c>
      <c r="B50">
        <f>(A50-3)^2</f>
        <v>3.60999999999999988</v>
      </c>
      <c r="C50">
        <f>2*$E$2*($E$1-B50)</f>
        <v>-12.44252</v>
      </c>
      <c r="D50">
        <f>D49*(2-E$3^2*C50)-D48</f>
        <v>0.00153547758098800031</v>
      </c>
      <c r="G50">
        <f>G49+K$3</f>
        <v>-0.364055299539165</v>
      </c>
      <c r="H50">
        <f>H$1*((1+G50)/(1-G50))^(1/H$2)</f>
        <v>4.66216216216220047</v>
      </c>
      <c r="I50">
        <f>2*H$1*(1+G50)^(-1+1/H$2)/(H$2*(1-G50)^(1+1/H$2))</f>
        <v>10.7489499634770258</v>
      </c>
      <c r="J50">
        <f>(1-1/H$2^2)/(1-G50^2)^2</f>
        <v>0</v>
      </c>
      <c r="K50">
        <f>(H50-3)^2</f>
        <v>2.76278305332371987</v>
      </c>
      <c r="L50">
        <f>2*$E$2*($E$1-K50)</f>
        <v>-9.05365221329488001</v>
      </c>
      <c r="M50">
        <f>L50*I50^2+J50</f>
        <v>-1046.05830057319008</v>
      </c>
      <c r="N50">
        <f>N49*(2-K$3^2*M50)-N48</f>
        <v>0.00295358039900299971</v>
      </c>
      <c r="R50">
        <f>H50</f>
        <v>4.66216216216220047</v>
      </c>
      <c r="S50">
        <f>N50</f>
        <v>0.00295358039900299971</v>
      </c>
    </row>
    <row r="51" spans="1:19">
      <c r="A51">
        <f>A50+E$3</f>
        <v>5</v>
      </c>
      <c r="B51">
        <f>(A51-3)^2</f>
        <v>4</v>
      </c>
      <c r="C51">
        <f>2*$E$2*($E$1-B51)</f>
        <v>-14.0025200000000005</v>
      </c>
      <c r="D51">
        <f>D50*(2-E$3^2*C51)-D49</f>
        <v>0.00103635230491000008</v>
      </c>
      <c r="G51">
        <f>G50+K$3</f>
        <v>-0.351766513056829977</v>
      </c>
      <c r="H51">
        <f>H$1*((1+G51)/(1-G51))^(1/H$2)</f>
        <v>4.79545454545460981</v>
      </c>
      <c r="I51">
        <f>2*H$1*(1+G51)^(-1+1/H$2)/(H$2*(1-G51)^(1+1/H$2))</f>
        <v>10.9452737603306751</v>
      </c>
      <c r="J51">
        <f>(1-1/H$2^2)/(1-G51^2)^2</f>
        <v>0</v>
      </c>
      <c r="K51">
        <f>(H51-3)^2</f>
        <v>3.22365702479362026</v>
      </c>
      <c r="L51">
        <f>2*$E$2*($E$1-K51)</f>
        <v>-10.8971480991744798</v>
      </c>
      <c r="M51">
        <f>L51*I51^2+J51</f>
        <v>-1305.46763788812996</v>
      </c>
      <c r="N51">
        <f>N50*(2-K$3^2*M51)-N49</f>
        <v>0.00169582507424799989</v>
      </c>
      <c r="R51">
        <f>H51</f>
        <v>4.79545454545460981</v>
      </c>
      <c r="S51">
        <f>N51</f>
        <v>0.00169582507424799989</v>
      </c>
    </row>
    <row r="52" spans="1:19">
      <c r="A52">
        <f>A51+E$3</f>
        <v>5.09999999999999964</v>
      </c>
      <c r="B52">
        <f>(A52-3)^2</f>
        <v>4.41000000000000014</v>
      </c>
      <c r="C52">
        <f>2*$E$2*($E$1-B52)</f>
        <v>-15.6425199999999993</v>
      </c>
      <c r="D52">
        <f>D51*(2-E$3^2*C52)-D50</f>
        <v>0.000699338645397999858</v>
      </c>
      <c r="G52">
        <f>G51+K$3</f>
        <v>-0.339477726574494998</v>
      </c>
      <c r="H52">
        <f>H$1*((1+G52)/(1-G52))^(1/H$2)</f>
        <v>4.93119266055051053</v>
      </c>
      <c r="I52">
        <f>2*H$1*(1+G52)^(-1+1/H$2)/(H$2*(1-G52)^(1+1/H$2))</f>
        <v>11.1470257133238135</v>
      </c>
      <c r="J52">
        <f>(1-1/H$2^2)/(1-G52^2)^2</f>
        <v>0</v>
      </c>
      <c r="K52">
        <f>(H52-3)^2</f>
        <v>3.72950509216415771</v>
      </c>
      <c r="L52">
        <f>2*$E$2*($E$1-K52)</f>
        <v>-12.9205403686566402</v>
      </c>
      <c r="M52">
        <f>L52*I52^2+J52</f>
        <v>-1605.45701886152005</v>
      </c>
      <c r="N52">
        <f>N51*(2-K$3^2*M52)-N50</f>
        <v>0.000849217323862000484</v>
      </c>
      <c r="R52">
        <f>H52</f>
        <v>4.93119266055051053</v>
      </c>
      <c r="S52">
        <f>N52</f>
        <v>0.000849217323862000484</v>
      </c>
    </row>
    <row r="53" spans="1:19">
      <c r="A53">
        <f>A52+E$3</f>
        <v>5.19999999999999929</v>
      </c>
      <c r="B53">
        <f>(A53-3)^2</f>
        <v>4.84000000000000075</v>
      </c>
      <c r="C53">
        <f>2*$E$2*($E$1-B53)</f>
        <v>-17.36252</v>
      </c>
      <c r="D53">
        <f>D52*(2-E$3^2*C53)-D51</f>
        <v>0.000483747798060999923</v>
      </c>
      <c r="G53">
        <f>G52+K$3</f>
        <v>-0.327188940092159974</v>
      </c>
      <c r="H53">
        <f>H$1*((1+G53)/(1-G53))^(1/H$2)</f>
        <v>5.06944444444450948</v>
      </c>
      <c r="I53">
        <f>2*H$1*(1+G53)^(-1+1/H$2)/(H$2*(1-G53)^(1+1/H$2))</f>
        <v>11.3544077932099832</v>
      </c>
      <c r="J53">
        <f>(1-1/H$2^2)/(1-G53^2)^2</f>
        <v>0</v>
      </c>
      <c r="K53">
        <f>(H53-3)^2</f>
        <v>4.28260030864224639</v>
      </c>
      <c r="L53">
        <f>2*$E$2*($E$1-K53)</f>
        <v>-15.1329212345690003</v>
      </c>
      <c r="M53">
        <f>L53*I53^2+J53</f>
        <v>-1950.97519302782007</v>
      </c>
      <c r="N53">
        <f>N52*(2-K$3^2*M53)-N51</f>
        <v>0.000252810313138999998</v>
      </c>
      <c r="R53">
        <f>H53</f>
        <v>5.06944444444450948</v>
      </c>
      <c r="S53">
        <f>N53</f>
        <v>0.000252810313138999998</v>
      </c>
    </row>
    <row r="54" spans="1:19">
      <c r="A54">
        <f>A53+E$3</f>
        <v>5.29999999999999982</v>
      </c>
      <c r="B54">
        <f>(A54-3)^2</f>
        <v>5.28999999999999915</v>
      </c>
      <c r="C54">
        <f>2*$E$2*($E$1-B54)</f>
        <v>-19.1625200000000007</v>
      </c>
      <c r="D54">
        <f>D53*(2-E$3^2*C54)-D52</f>
        <v>0.000360855219277000083</v>
      </c>
      <c r="G54">
        <f>G53+K$3</f>
        <v>-0.314900153609824995</v>
      </c>
      <c r="H54">
        <f>H$1*((1+G54)/(1-G54))^(1/H$2)</f>
        <v>5.2102803738318304</v>
      </c>
      <c r="I54">
        <f>2*H$1*(1+G54)^(-1+1/H$2)/(H$2*(1-G54)^(1+1/H$2))</f>
        <v>11.5676314525286532</v>
      </c>
      <c r="J54">
        <f>(1-1/H$2^2)/(1-G54^2)^2</f>
        <v>0</v>
      </c>
      <c r="K54">
        <f>(H54-3)^2</f>
        <v>4.88533933094617367</v>
      </c>
      <c r="L54">
        <f>2*$E$2*($E$1-K54)</f>
        <v>-17.543877323784681</v>
      </c>
      <c r="M54">
        <f>L54*I54^2+J54</f>
        <v>-2347.54793384701998</v>
      </c>
      <c r="N54">
        <f>N53*(2-K$3^2*M54)-N52</f>
        <v>-0.000253972093091000062</v>
      </c>
      <c r="R54">
        <f>H54</f>
        <v>5.2102803738318304</v>
      </c>
      <c r="S54">
        <f>N54</f>
        <v>-0.000253972093091000062</v>
      </c>
    </row>
    <row r="55" spans="1:19">
      <c r="A55">
        <f>A54+E$3</f>
        <v>5.39999999999999947</v>
      </c>
      <c r="B55">
        <f>(A55-3)^2</f>
        <v>5.75999999999999979</v>
      </c>
      <c r="C55">
        <f>2*$E$2*($E$1-B55)</f>
        <v>-21.0425199999999997</v>
      </c>
      <c r="D55">
        <f>D54*(2-E$3^2*C55)-D53</f>
        <v>0.000313895672180000052</v>
      </c>
      <c r="G55">
        <f>G54+K$3</f>
        <v>-0.302611367127489972</v>
      </c>
      <c r="H55">
        <f>H$1*((1+G55)/(1-G55))^(1/H$2)</f>
        <v>5.35377358490572952</v>
      </c>
      <c r="I55">
        <f>2*H$1*(1+G55)^(-1+1/H$2)/(H$2*(1-G55)^(1+1/H$2))</f>
        <v>11.7869181648274424</v>
      </c>
      <c r="J55">
        <f>(1-1/H$2^2)/(1-G55^2)^2</f>
        <v>0</v>
      </c>
      <c r="K55">
        <f>(H55-3)^2</f>
        <v>5.54025008899997129</v>
      </c>
      <c r="L55">
        <f>2*$E$2*($E$1-K55)</f>
        <v>-20.1635203559998786</v>
      </c>
      <c r="M55">
        <f>L55*I55^2+J55</f>
        <v>-2801.34691498640996</v>
      </c>
      <c r="N55">
        <f>N54*(2-K$3^2*M55)-N53</f>
        <v>-0.00086819570905399992</v>
      </c>
      <c r="R55">
        <f>H55</f>
        <v>5.35377358490572952</v>
      </c>
      <c r="S55">
        <f>N55</f>
        <v>-0.00086819570905399992</v>
      </c>
    </row>
    <row r="56" spans="1:19">
      <c r="A56">
        <f>A55+E$3</f>
        <v>5.5</v>
      </c>
      <c r="B56">
        <f>(A56-3)^2</f>
        <v>6.25</v>
      </c>
      <c r="C56">
        <f>2*$E$2*($E$1-B56)</f>
        <v>-23.0025200000000005</v>
      </c>
      <c r="D56">
        <f>D55*(2-E$3^2*C56)-D54</f>
        <v>0.000339140039854999964</v>
      </c>
      <c r="G56">
        <f>G55+K$3</f>
        <v>-0.290322580645154993</v>
      </c>
      <c r="H56">
        <f>H$1*((1+G56)/(1-G56))^(1/H$2)</f>
        <v>5.5000000000000604</v>
      </c>
      <c r="I56">
        <f>2*H$1*(1+G56)^(-1+1/H$2)/(H$2*(1-G56)^(1+1/H$2))</f>
        <v>12.0124999999999904</v>
      </c>
      <c r="J56">
        <f>(1-1/H$2^2)/(1-G56^2)^2</f>
        <v>0</v>
      </c>
      <c r="K56">
        <f>(H56-3)^2</f>
        <v>6.2500000000003002</v>
      </c>
      <c r="L56">
        <f>2*$E$2*($E$1-K56)</f>
        <v>-23.0025200000012013</v>
      </c>
      <c r="M56">
        <f>L56*I56^2+J56</f>
        <v>-3319.26723014392019</v>
      </c>
      <c r="N56">
        <f>N55*(2-K$3^2*M56)-N54</f>
        <v>-0.00191760826569900011</v>
      </c>
      <c r="R56">
        <f>H56</f>
        <v>5.5000000000000604</v>
      </c>
      <c r="S56">
        <f>N56</f>
        <v>-0.00191760826569900011</v>
      </c>
    </row>
  </sheetData>
  <printOptions>
    <extLst>
      <ext uri="smNativeData">
        <pm:pageFlags xmlns:pm="smNativeData" id="1675691075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1" fitToWidth="0" fitToHeight="1" pageOrder="overThenDown"/>
  <headerFooter>
    <extLst>
      <ext uri="smNativeData">
        <pm:header xmlns:pm="smNativeData" id="1675691075" l="56" r="56" t="56" b="56" borderId="0" fillId="0" vertical="0"/>
        <pm:footer xmlns:pm="smNativeData" id="1675691075" l="56" r="56" t="56" b="56" borderId="0" fillId="0" vertical="2"/>
        <pm:paperBin xmlns:pm="smNativeData" id="1675691075" Id="0" type="0" value="0"/>
        <pm:paperBin xmlns:pm="smNativeData" id="1675691075" Id="1" type="0" value="0"/>
      </ext>
    </extLst>
  </headerFooter>
  <drawing r:id="rId1"/>
  <extLst>
    <ext uri="smNativeData">
      <pm:sheetPrefs xmlns:pm="smNativeData" day="167569107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Lorenzo</cp:lastModifiedBy>
  <cp:revision>0</cp:revision>
  <dcterms:created xsi:type="dcterms:W3CDTF">2023-02-06T10:59:48Z</dcterms:created>
  <dcterms:modified xsi:type="dcterms:W3CDTF">2023-02-06T13:44:35Z</dcterms:modified>
</cp:coreProperties>
</file>